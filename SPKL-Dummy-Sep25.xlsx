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apat Kerja\DumbProject\"/>
    </mc:Choice>
  </mc:AlternateContent>
  <xr:revisionPtr revIDLastSave="0" documentId="13_ncr:1_{5F65B172-F73D-4596-80FE-2DDD09280168}" xr6:coauthVersionLast="47" xr6:coauthVersionMax="47" xr10:uidLastSave="{00000000-0000-0000-0000-000000000000}"/>
  <bookViews>
    <workbookView xWindow="-108" yWindow="-108" windowWidth="23256" windowHeight="12456" xr2:uid="{D8C510E4-5CF4-46B9-9D49-510304590324}"/>
  </bookViews>
  <sheets>
    <sheet name="Data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2" l="1"/>
  <c r="A36" i="2"/>
  <c r="A33" i="2"/>
  <c r="A22" i="2"/>
  <c r="A14" i="2"/>
  <c r="A7" i="2"/>
  <c r="A8" i="2"/>
  <c r="A3" i="2"/>
  <c r="A2" i="2"/>
  <c r="A40" i="2"/>
  <c r="A24" i="2"/>
  <c r="A16" i="2"/>
  <c r="A12" i="2"/>
  <c r="A11" i="2"/>
  <c r="A39" i="2"/>
  <c r="A9" i="2"/>
  <c r="A21" i="2"/>
  <c r="A20" i="2"/>
  <c r="A30" i="2"/>
  <c r="A26" i="2"/>
  <c r="A25" i="2"/>
  <c r="A38" i="2"/>
  <c r="A5" i="2"/>
  <c r="A13" i="2"/>
  <c r="A6" i="2"/>
  <c r="A34" i="2"/>
  <c r="A15" i="2"/>
  <c r="A10" i="2"/>
  <c r="A18" i="2"/>
  <c r="A4" i="2"/>
  <c r="A23" i="2"/>
  <c r="A32" i="2"/>
  <c r="A28" i="2"/>
  <c r="A31" i="2"/>
  <c r="A17" i="2"/>
  <c r="A35" i="2"/>
  <c r="A37" i="2"/>
  <c r="A27" i="2"/>
  <c r="A29" i="2"/>
</calcChain>
</file>

<file path=xl/sharedStrings.xml><?xml version="1.0" encoding="utf-8"?>
<sst xmlns="http://schemas.openxmlformats.org/spreadsheetml/2006/main" count="206" uniqueCount="31">
  <si>
    <t>NAMA</t>
  </si>
  <si>
    <t>NOPEK</t>
  </si>
  <si>
    <t>WILAYAH</t>
  </si>
  <si>
    <t>LOKASI</t>
  </si>
  <si>
    <t>JENIS PEKERJAAN</t>
  </si>
  <si>
    <t>TANGGAL</t>
  </si>
  <si>
    <t>JAM MULAI</t>
  </si>
  <si>
    <t>JAM SELESAI</t>
  </si>
  <si>
    <t>JUMLAH</t>
  </si>
  <si>
    <t>AKTIVITAS</t>
  </si>
  <si>
    <t>Cahyono</t>
  </si>
  <si>
    <t>MOR I</t>
  </si>
  <si>
    <t>Kantor Cabang Ops Barat</t>
  </si>
  <si>
    <t>Harian</t>
  </si>
  <si>
    <t>05/09/2025</t>
  </si>
  <si>
    <t>Hari Libur Nasional Maulid Nabi Muhammad SAW</t>
  </si>
  <si>
    <t>Bantuan Personel Jaga</t>
  </si>
  <si>
    <t>Dirga Marabela</t>
  </si>
  <si>
    <t>Artha Pusaka</t>
  </si>
  <si>
    <t>Shift</t>
  </si>
  <si>
    <t>Kelebihan Jam Kerja</t>
  </si>
  <si>
    <t>Menggantikan Sdr. Nathan Januardi Dinas</t>
  </si>
  <si>
    <t>Fahri El Shirazy</t>
  </si>
  <si>
    <t>Nathan Januardi</t>
  </si>
  <si>
    <t>Menggantikan Sdr. Fahri El Shirazy Cuti</t>
  </si>
  <si>
    <t>Keenan Avalon</t>
  </si>
  <si>
    <t>Lintang Ardianta</t>
  </si>
  <si>
    <t>Menggantikan Sdr. Fahri El Shirazy Cuti Melahirkan</t>
  </si>
  <si>
    <t>Sandi Herta</t>
  </si>
  <si>
    <t>Dilan Bilal Faktor</t>
  </si>
  <si>
    <t>Agustin Fahren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</si>
</sst>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3" fillId="0" borderId="0" xfId="1"/>
    <xf numFmtId="0" fontId="3" fillId="0" borderId="1" xfId="1" applyBorder="1" applyAlignment="1" applyProtection="1">
      <alignment horizontal="center"/>
      <protection locked="0"/>
    </xf>
    <xf numFmtId="0" fontId="1" fillId="0" borderId="1" xfId="1" applyFont="1" applyBorder="1" applyAlignment="1" applyProtection="1">
      <alignment horizontal="center"/>
      <protection locked="0"/>
    </xf>
    <xf numFmtId="164" fontId="1" fillId="0" borderId="1" xfId="1" quotePrefix="1" applyNumberFormat="1" applyFont="1" applyBorder="1" applyAlignment="1" applyProtection="1">
      <alignment horizontal="center"/>
      <protection locked="0"/>
    </xf>
    <xf numFmtId="20" fontId="1" fillId="0" borderId="1" xfId="1" applyNumberFormat="1" applyFont="1" applyBorder="1" applyAlignment="1" applyProtection="1">
      <alignment horizontal="center" vertical="center"/>
      <protection locked="0"/>
    </xf>
    <xf numFmtId="20" fontId="1" fillId="0" borderId="1" xfId="1" applyNumberFormat="1" applyFont="1" applyBorder="1" applyAlignment="1">
      <alignment horizontal="center" vertical="center"/>
    </xf>
    <xf numFmtId="164" fontId="3" fillId="0" borderId="1" xfId="1" applyNumberFormat="1" applyBorder="1"/>
    <xf numFmtId="20" fontId="3" fillId="0" borderId="1" xfId="1" applyNumberFormat="1" applyBorder="1" applyAlignment="1">
      <alignment horizontal="center"/>
    </xf>
    <xf numFmtId="0" fontId="3" fillId="0" borderId="3" xfId="1" applyBorder="1" applyAlignment="1" applyProtection="1">
      <alignment horizontal="center"/>
      <protection locked="0"/>
    </xf>
    <xf numFmtId="0" fontId="3" fillId="0" borderId="2" xfId="1" applyBorder="1" applyAlignment="1" applyProtection="1">
      <alignment horizontal="left"/>
      <protection locked="0"/>
    </xf>
    <xf numFmtId="0" fontId="1" fillId="0" borderId="2" xfId="1" applyFont="1" applyBorder="1" applyAlignment="1" applyProtection="1">
      <alignment horizontal="left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20" fontId="2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3" fillId="0" borderId="7" xfId="1" applyBorder="1" applyAlignment="1" applyProtection="1">
      <alignment horizontal="center"/>
      <protection locked="0"/>
    </xf>
    <xf numFmtId="0" fontId="3" fillId="0" borderId="8" xfId="1" applyBorder="1" applyAlignment="1" applyProtection="1">
      <alignment horizontal="center"/>
      <protection locked="0"/>
    </xf>
    <xf numFmtId="0" fontId="1" fillId="0" borderId="8" xfId="1" applyFont="1" applyBorder="1" applyAlignment="1" applyProtection="1">
      <alignment horizontal="center"/>
      <protection locked="0"/>
    </xf>
    <xf numFmtId="164" fontId="3" fillId="0" borderId="8" xfId="1" applyNumberFormat="1" applyBorder="1"/>
    <xf numFmtId="20" fontId="1" fillId="0" borderId="8" xfId="1" applyNumberFormat="1" applyFont="1" applyBorder="1" applyAlignment="1" applyProtection="1">
      <alignment horizontal="center" vertical="center"/>
      <protection locked="0"/>
    </xf>
    <xf numFmtId="20" fontId="3" fillId="0" borderId="8" xfId="1" applyNumberFormat="1" applyBorder="1" applyAlignment="1">
      <alignment horizontal="center"/>
    </xf>
    <xf numFmtId="20" fontId="1" fillId="0" borderId="8" xfId="1" applyNumberFormat="1" applyFont="1" applyBorder="1" applyAlignment="1">
      <alignment horizontal="center" vertical="center"/>
    </xf>
    <xf numFmtId="0" fontId="3" fillId="0" borderId="9" xfId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6E170475-6001-4B25-A8A7-C76A973CE635}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4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pat%20Kerja\DumbProject\MasterLembur_Dummy.xlsm" TargetMode="External"/><Relationship Id="rId1" Type="http://schemas.openxmlformats.org/officeDocument/2006/relationships/externalLinkPath" Target="MasterLembur_Dumm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Sheet3"/>
    </sheetNames>
    <sheetDataSet>
      <sheetData sheetId="0"/>
      <sheetData sheetId="1">
        <row r="1">
          <cell r="A1" t="str">
            <v>NAMA</v>
          </cell>
          <cell r="B1" t="str">
            <v>NOREG</v>
          </cell>
        </row>
        <row r="2">
          <cell r="A2" t="str">
            <v>Cahyono</v>
          </cell>
          <cell r="B2" t="str">
            <v>XYZ0-115325</v>
          </cell>
        </row>
        <row r="3">
          <cell r="A3" t="str">
            <v>Dirga Marabela</v>
          </cell>
          <cell r="B3" t="str">
            <v>XYZ0-243689</v>
          </cell>
        </row>
        <row r="4">
          <cell r="A4" t="str">
            <v>Artha Pusaka</v>
          </cell>
          <cell r="B4" t="str">
            <v>XYZ0-115330</v>
          </cell>
        </row>
        <row r="5">
          <cell r="A5" t="str">
            <v>Fahri El Shirazy</v>
          </cell>
          <cell r="B5" t="str">
            <v>XYZ0-213167</v>
          </cell>
        </row>
        <row r="6">
          <cell r="A6" t="str">
            <v>Nathan Januardi</v>
          </cell>
          <cell r="B6" t="str">
            <v>XYZ0-115329</v>
          </cell>
        </row>
        <row r="7">
          <cell r="A7" t="str">
            <v>Keenan Avalon</v>
          </cell>
          <cell r="B7" t="str">
            <v>XYZ0-193377</v>
          </cell>
        </row>
        <row r="8">
          <cell r="A8" t="str">
            <v>Lintang Ardianta</v>
          </cell>
          <cell r="B8" t="str">
            <v>XYZ0-115331</v>
          </cell>
        </row>
        <row r="9">
          <cell r="A9" t="str">
            <v>Sandi Herta</v>
          </cell>
          <cell r="B9" t="str">
            <v>XYZ0-234340</v>
          </cell>
        </row>
        <row r="10">
          <cell r="A10" t="str">
            <v>Dilan Bilal Faktor</v>
          </cell>
          <cell r="B10" t="str">
            <v>XYZ0-115315</v>
          </cell>
        </row>
        <row r="11">
          <cell r="A11" t="str">
            <v>Agustin Fahren</v>
          </cell>
          <cell r="B11" t="str">
            <v>XYZ0-240232</v>
          </cell>
        </row>
        <row r="12">
          <cell r="A12" t="str">
            <v>Agustin Fahren</v>
          </cell>
          <cell r="B12" t="str">
            <v>F006-240232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3DCD6-277C-4E86-A48C-094C9C83E09F}" name="Table1" displayName="Table1" ref="A1:J40" totalsRowShown="0" headerRowDxfId="0" headerRowBorderDxfId="12" tableBorderDxfId="13" totalsRowBorderDxfId="11" headerRowCellStyle="Normal 2">
  <autoFilter ref="A1:J40" xr:uid="{83F3DCD6-277C-4E86-A48C-094C9C83E09F}"/>
  <tableColumns count="10">
    <tableColumn id="1" xr3:uid="{46754CD4-B53E-4339-99F3-4A9C7C31E030}" name="NOPEK" dataDxfId="10" dataCellStyle="Normal 2">
      <calculatedColumnFormula>_xlfn.XLOOKUP($A2,[1]Sheet3!$A:$A,[1]Sheet3!$B:$B," ",0)</calculatedColumnFormula>
    </tableColumn>
    <tableColumn id="2" xr3:uid="{6D100971-8EE0-4E2D-A359-FA76692A39F2}" name="NAMA" dataDxfId="9" dataCellStyle="Normal 2"/>
    <tableColumn id="3" xr3:uid="{274E4821-D2D4-4240-90C6-EE5E07AED878}" name="WILAYAH" dataDxfId="8" dataCellStyle="Normal 2"/>
    <tableColumn id="4" xr3:uid="{FD6D2DB4-FD08-4683-9B3C-E91E3CA7EDA6}" name="LOKASI" dataDxfId="7" dataCellStyle="Normal 2"/>
    <tableColumn id="5" xr3:uid="{A0740565-56F2-4DFC-93BA-70C22FB6B7C9}" name="JENIS PEKERJAAN" dataDxfId="6" dataCellStyle="Normal 2"/>
    <tableColumn id="6" xr3:uid="{9E5DB206-F7A4-4891-9505-301C08E84EE8}" name="TANGGAL" dataDxfId="5" dataCellStyle="Normal 2"/>
    <tableColumn id="7" xr3:uid="{8AAD5CC0-D179-426E-871C-A6955159F1DF}" name="JAM MULAI" dataDxfId="4" dataCellStyle="Normal 2"/>
    <tableColumn id="8" xr3:uid="{98D17018-FD67-4735-9328-6F8D299924A1}" name="JAM SELESAI" dataDxfId="3" dataCellStyle="Normal 2"/>
    <tableColumn id="9" xr3:uid="{3CBB22E1-ECA9-4C53-BF50-C28B2394A5F6}" name="JUMLAH" dataDxfId="2" dataCellStyle="Normal 2"/>
    <tableColumn id="10" xr3:uid="{06CEA9E9-D46F-4FDC-89F8-78BA58D4C6A0}" name="AKTIVITAS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969A-27BF-45A1-9D12-7B2B3BC0121F}">
  <sheetPr codeName="Sheet2"/>
  <dimension ref="A1:J40"/>
  <sheetViews>
    <sheetView tabSelected="1" zoomScale="79" workbookViewId="0">
      <selection activeCell="P11" sqref="P11"/>
    </sheetView>
  </sheetViews>
  <sheetFormatPr defaultRowHeight="14.4" x14ac:dyDescent="0.3"/>
  <cols>
    <col min="1" max="1" width="11.6640625" style="1" bestFit="1" customWidth="1"/>
    <col min="2" max="2" width="15.77734375" style="1" bestFit="1" customWidth="1"/>
    <col min="3" max="3" width="11.21875" style="1" customWidth="1"/>
    <col min="4" max="4" width="22.6640625" style="1" bestFit="1" customWidth="1"/>
    <col min="5" max="5" width="18" style="1" customWidth="1"/>
    <col min="6" max="6" width="11.5546875" style="1" customWidth="1"/>
    <col min="7" max="7" width="13.109375" style="1" customWidth="1"/>
    <col min="8" max="8" width="13.77734375" style="1" customWidth="1"/>
    <col min="9" max="9" width="10.21875" style="1" customWidth="1"/>
    <col min="10" max="10" width="46" style="1" bestFit="1" customWidth="1"/>
    <col min="11" max="16384" width="8.88671875" style="1"/>
  </cols>
  <sheetData>
    <row r="1" spans="1:10" x14ac:dyDescent="0.3">
      <c r="A1" s="12" t="s">
        <v>1</v>
      </c>
      <c r="B1" s="13" t="s">
        <v>0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6" t="s">
        <v>9</v>
      </c>
    </row>
    <row r="2" spans="1:10" x14ac:dyDescent="0.3">
      <c r="A2" s="9" t="str">
        <f ca="1">_xlfn.XLOOKUP($A2,[1]Sheet3!$A:$A,[1]Sheet3!$B:$B," ",0)</f>
        <v>XYZ0-115325</v>
      </c>
      <c r="B2" s="2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5">
        <v>0.33333333333333331</v>
      </c>
      <c r="H2" s="5">
        <v>0.66666666666666663</v>
      </c>
      <c r="I2" s="6">
        <v>0.33333333333333331</v>
      </c>
      <c r="J2" s="10" t="s">
        <v>15</v>
      </c>
    </row>
    <row r="3" spans="1:10" x14ac:dyDescent="0.3">
      <c r="A3" s="9" t="str">
        <f ca="1">_xlfn.XLOOKUP($A3,[1]Sheet3!$A:$A,[1]Sheet3!$B:$B," ",0)</f>
        <v>XYZ0-115325</v>
      </c>
      <c r="B3" s="2" t="s">
        <v>10</v>
      </c>
      <c r="C3" s="3" t="s">
        <v>11</v>
      </c>
      <c r="D3" s="3" t="s">
        <v>12</v>
      </c>
      <c r="E3" s="3" t="s">
        <v>13</v>
      </c>
      <c r="F3" s="4">
        <v>45906</v>
      </c>
      <c r="G3" s="5">
        <v>0.33333333333333331</v>
      </c>
      <c r="H3" s="5">
        <v>0.66666666666666663</v>
      </c>
      <c r="I3" s="6">
        <v>0.33333333333333331</v>
      </c>
      <c r="J3" s="10" t="s">
        <v>16</v>
      </c>
    </row>
    <row r="4" spans="1:10" x14ac:dyDescent="0.3">
      <c r="A4" s="9" t="str">
        <f ca="1">_xlfn.XLOOKUP($A4,[1]Sheet3!$A:$A,[1]Sheet3!$B:$B," ",0)</f>
        <v>XYZ0-115325</v>
      </c>
      <c r="B4" s="2" t="s">
        <v>10</v>
      </c>
      <c r="C4" s="3" t="s">
        <v>11</v>
      </c>
      <c r="D4" s="3" t="s">
        <v>12</v>
      </c>
      <c r="E4" s="3" t="s">
        <v>13</v>
      </c>
      <c r="F4" s="4">
        <v>45907</v>
      </c>
      <c r="G4" s="5">
        <v>0.33333333333333331</v>
      </c>
      <c r="H4" s="5">
        <v>0.66666666666666663</v>
      </c>
      <c r="I4" s="6">
        <v>0.33333333333333331</v>
      </c>
      <c r="J4" s="10" t="s">
        <v>16</v>
      </c>
    </row>
    <row r="5" spans="1:10" x14ac:dyDescent="0.3">
      <c r="A5" s="9" t="str">
        <f ca="1">_xlfn.XLOOKUP($A5,[1]Sheet3!$A:$A,[1]Sheet3!$B:$B," ",0)</f>
        <v>XYZ0-115325</v>
      </c>
      <c r="B5" s="2" t="s">
        <v>10</v>
      </c>
      <c r="C5" s="3" t="s">
        <v>11</v>
      </c>
      <c r="D5" s="3" t="s">
        <v>12</v>
      </c>
      <c r="E5" s="3" t="s">
        <v>13</v>
      </c>
      <c r="F5" s="4">
        <v>45920</v>
      </c>
      <c r="G5" s="5">
        <v>0.33333333333333331</v>
      </c>
      <c r="H5" s="5">
        <v>0.66666666666666663</v>
      </c>
      <c r="I5" s="6">
        <v>0.33333333333333331</v>
      </c>
      <c r="J5" s="10" t="s">
        <v>16</v>
      </c>
    </row>
    <row r="6" spans="1:10" x14ac:dyDescent="0.3">
      <c r="A6" s="9" t="str">
        <f ca="1">_xlfn.XLOOKUP($A6,[1]Sheet3!$A:$A,[1]Sheet3!$B:$B," ",0)</f>
        <v>XYZ0-243689</v>
      </c>
      <c r="B6" s="2" t="s">
        <v>17</v>
      </c>
      <c r="C6" s="3" t="s">
        <v>11</v>
      </c>
      <c r="D6" s="3" t="s">
        <v>12</v>
      </c>
      <c r="E6" s="3" t="s">
        <v>13</v>
      </c>
      <c r="F6" s="4">
        <v>45905</v>
      </c>
      <c r="G6" s="5">
        <v>0.33333333333333331</v>
      </c>
      <c r="H6" s="5">
        <v>0.66666666666666663</v>
      </c>
      <c r="I6" s="6">
        <v>0.33333333333333331</v>
      </c>
      <c r="J6" s="10" t="s">
        <v>15</v>
      </c>
    </row>
    <row r="7" spans="1:10" x14ac:dyDescent="0.3">
      <c r="A7" s="9" t="str">
        <f ca="1">_xlfn.XLOOKUP($A7,[1]Sheet3!$A:$A,[1]Sheet3!$B:$B," ",0)</f>
        <v>XYZ0-243689</v>
      </c>
      <c r="B7" s="2" t="s">
        <v>17</v>
      </c>
      <c r="C7" s="3" t="s">
        <v>11</v>
      </c>
      <c r="D7" s="3" t="s">
        <v>12</v>
      </c>
      <c r="E7" s="3" t="s">
        <v>13</v>
      </c>
      <c r="F7" s="4">
        <v>45914</v>
      </c>
      <c r="G7" s="5">
        <v>0.33333333333333298</v>
      </c>
      <c r="H7" s="5">
        <v>0.66666666666666696</v>
      </c>
      <c r="I7" s="6">
        <v>0.33333333333333398</v>
      </c>
      <c r="J7" s="10" t="s">
        <v>16</v>
      </c>
    </row>
    <row r="8" spans="1:10" x14ac:dyDescent="0.3">
      <c r="A8" s="9" t="str">
        <f ca="1">_xlfn.XLOOKUP($A8,[1]Sheet3!$A:$A,[1]Sheet3!$B:$B," ",0)</f>
        <v>XYZ0-243689</v>
      </c>
      <c r="B8" s="2" t="s">
        <v>17</v>
      </c>
      <c r="C8" s="3" t="s">
        <v>11</v>
      </c>
      <c r="D8" s="3" t="s">
        <v>12</v>
      </c>
      <c r="E8" s="3" t="s">
        <v>13</v>
      </c>
      <c r="F8" s="4">
        <v>45927</v>
      </c>
      <c r="G8" s="5">
        <v>0.33333333333333298</v>
      </c>
      <c r="H8" s="5">
        <v>0.66666666666666696</v>
      </c>
      <c r="I8" s="6">
        <v>0.33333333333333398</v>
      </c>
      <c r="J8" s="11" t="s">
        <v>16</v>
      </c>
    </row>
    <row r="9" spans="1:10" x14ac:dyDescent="0.3">
      <c r="A9" s="9" t="str">
        <f ca="1">_xlfn.XLOOKUP($A9,[1]Sheet3!$A:$A,[1]Sheet3!$B:$B," ",0)</f>
        <v>XYZ0-243689</v>
      </c>
      <c r="B9" s="2" t="s">
        <v>17</v>
      </c>
      <c r="C9" s="3" t="s">
        <v>11</v>
      </c>
      <c r="D9" s="3" t="s">
        <v>12</v>
      </c>
      <c r="E9" s="3" t="s">
        <v>13</v>
      </c>
      <c r="F9" s="4">
        <v>45928</v>
      </c>
      <c r="G9" s="5">
        <v>0.33333333333333298</v>
      </c>
      <c r="H9" s="5">
        <v>0.66666666666666696</v>
      </c>
      <c r="I9" s="6">
        <v>0.33333333333333398</v>
      </c>
      <c r="J9" s="11" t="s">
        <v>16</v>
      </c>
    </row>
    <row r="10" spans="1:10" x14ac:dyDescent="0.3">
      <c r="A10" s="9" t="str">
        <f ca="1">_xlfn.XLOOKUP($A10,[1]Sheet3!$A:$A,[1]Sheet3!$B:$B," ",0)</f>
        <v>XYZ0-115330</v>
      </c>
      <c r="B10" s="2" t="s">
        <v>18</v>
      </c>
      <c r="C10" s="3" t="s">
        <v>11</v>
      </c>
      <c r="D10" s="3" t="s">
        <v>12</v>
      </c>
      <c r="E10" s="3" t="s">
        <v>19</v>
      </c>
      <c r="F10" s="7">
        <v>45913</v>
      </c>
      <c r="G10" s="8">
        <v>0.33333333333333331</v>
      </c>
      <c r="H10" s="5">
        <v>0.66666666666666663</v>
      </c>
      <c r="I10" s="6">
        <v>0.33333333333333331</v>
      </c>
      <c r="J10" s="10" t="s">
        <v>16</v>
      </c>
    </row>
    <row r="11" spans="1:10" x14ac:dyDescent="0.3">
      <c r="A11" s="9" t="str">
        <f ca="1">_xlfn.XLOOKUP($A11,[1]Sheet3!$A:$A,[1]Sheet3!$B:$B," ",0)</f>
        <v>XYZ0-115330</v>
      </c>
      <c r="B11" s="2" t="s">
        <v>18</v>
      </c>
      <c r="C11" s="3" t="s">
        <v>11</v>
      </c>
      <c r="D11" s="3" t="s">
        <v>12</v>
      </c>
      <c r="E11" s="3" t="s">
        <v>19</v>
      </c>
      <c r="F11" s="4">
        <v>45922</v>
      </c>
      <c r="G11" s="5">
        <v>0.66666666666666663</v>
      </c>
      <c r="H11" s="5">
        <v>0</v>
      </c>
      <c r="I11" s="6">
        <v>0.33333333333333337</v>
      </c>
      <c r="J11" s="10" t="s">
        <v>20</v>
      </c>
    </row>
    <row r="12" spans="1:10" x14ac:dyDescent="0.3">
      <c r="A12" s="9" t="str">
        <f ca="1">_xlfn.XLOOKUP($A12,[1]Sheet3!$A:$A,[1]Sheet3!$B:$B," ",0)</f>
        <v>XYZ0-115330</v>
      </c>
      <c r="B12" s="2" t="s">
        <v>18</v>
      </c>
      <c r="C12" s="3" t="s">
        <v>11</v>
      </c>
      <c r="D12" s="3" t="s">
        <v>12</v>
      </c>
      <c r="E12" s="3" t="s">
        <v>19</v>
      </c>
      <c r="F12" s="7">
        <v>45923</v>
      </c>
      <c r="G12" s="8">
        <v>0.33333333333333331</v>
      </c>
      <c r="H12" s="5">
        <v>0.66666666666666663</v>
      </c>
      <c r="I12" s="6">
        <v>0.33333333333333331</v>
      </c>
      <c r="J12" s="10" t="s">
        <v>21</v>
      </c>
    </row>
    <row r="13" spans="1:10" x14ac:dyDescent="0.3">
      <c r="A13" s="9" t="str">
        <f ca="1">_xlfn.XLOOKUP($A13,[1]Sheet3!$A:$A,[1]Sheet3!$B:$B," ",0)</f>
        <v>XYZ0-115330</v>
      </c>
      <c r="B13" s="2" t="s">
        <v>18</v>
      </c>
      <c r="C13" s="3" t="s">
        <v>11</v>
      </c>
      <c r="D13" s="3" t="s">
        <v>12</v>
      </c>
      <c r="E13" s="3" t="s">
        <v>19</v>
      </c>
      <c r="F13" s="7">
        <v>45925</v>
      </c>
      <c r="G13" s="8">
        <v>0.33333333333333331</v>
      </c>
      <c r="H13" s="5">
        <v>0.66666666666666663</v>
      </c>
      <c r="I13" s="6">
        <v>0.33333333333333331</v>
      </c>
      <c r="J13" s="10" t="s">
        <v>21</v>
      </c>
    </row>
    <row r="14" spans="1:10" x14ac:dyDescent="0.3">
      <c r="A14" s="9" t="str">
        <f ca="1">_xlfn.XLOOKUP($A14,[1]Sheet3!$A:$A,[1]Sheet3!$B:$B," ",0)</f>
        <v>XYZ0-213167</v>
      </c>
      <c r="B14" s="2" t="s">
        <v>22</v>
      </c>
      <c r="C14" s="3" t="s">
        <v>11</v>
      </c>
      <c r="D14" s="3" t="s">
        <v>12</v>
      </c>
      <c r="E14" s="3" t="s">
        <v>19</v>
      </c>
      <c r="F14" s="7">
        <v>45921</v>
      </c>
      <c r="G14" s="8">
        <v>0.33333333333333331</v>
      </c>
      <c r="H14" s="5">
        <v>0.66666666666666663</v>
      </c>
      <c r="I14" s="6">
        <v>0.33333333333333331</v>
      </c>
      <c r="J14" s="10" t="s">
        <v>16</v>
      </c>
    </row>
    <row r="15" spans="1:10" x14ac:dyDescent="0.3">
      <c r="A15" s="9" t="str">
        <f ca="1">_xlfn.XLOOKUP($A15,[1]Sheet3!$A:$A,[1]Sheet3!$B:$B," ",0)</f>
        <v>XYZ0-213167</v>
      </c>
      <c r="B15" s="2" t="s">
        <v>22</v>
      </c>
      <c r="C15" s="3" t="s">
        <v>11</v>
      </c>
      <c r="D15" s="3" t="s">
        <v>12</v>
      </c>
      <c r="E15" s="3" t="s">
        <v>19</v>
      </c>
      <c r="F15" s="4">
        <v>45922</v>
      </c>
      <c r="G15" s="5">
        <v>0.66666666666666663</v>
      </c>
      <c r="H15" s="5">
        <v>0</v>
      </c>
      <c r="I15" s="6">
        <v>0.33333333333333337</v>
      </c>
      <c r="J15" s="10" t="s">
        <v>20</v>
      </c>
    </row>
    <row r="16" spans="1:10" x14ac:dyDescent="0.3">
      <c r="A16" s="9" t="str">
        <f ca="1">_xlfn.XLOOKUP($A16,[1]Sheet3!$A:$A,[1]Sheet3!$B:$B," ",0)</f>
        <v>XYZ0-213167</v>
      </c>
      <c r="B16" s="2" t="s">
        <v>22</v>
      </c>
      <c r="C16" s="3" t="s">
        <v>11</v>
      </c>
      <c r="D16" s="3" t="s">
        <v>12</v>
      </c>
      <c r="E16" s="3" t="s">
        <v>19</v>
      </c>
      <c r="F16" s="4">
        <v>45924</v>
      </c>
      <c r="G16" s="5">
        <v>0.33333333333333331</v>
      </c>
      <c r="H16" s="5">
        <v>0.66666666666666663</v>
      </c>
      <c r="I16" s="6">
        <v>0.33333333333333331</v>
      </c>
      <c r="J16" s="10" t="s">
        <v>21</v>
      </c>
    </row>
    <row r="17" spans="1:10" x14ac:dyDescent="0.3">
      <c r="A17" s="9" t="str">
        <f ca="1">_xlfn.XLOOKUP($A17,[1]Sheet3!$A:$A,[1]Sheet3!$B:$B," ",0)</f>
        <v>XYZ0-115329</v>
      </c>
      <c r="B17" s="2" t="s">
        <v>23</v>
      </c>
      <c r="C17" s="3" t="s">
        <v>11</v>
      </c>
      <c r="D17" s="3" t="s">
        <v>12</v>
      </c>
      <c r="E17" s="3" t="s">
        <v>19</v>
      </c>
      <c r="F17" s="4">
        <v>45905</v>
      </c>
      <c r="G17" s="5">
        <v>0</v>
      </c>
      <c r="H17" s="5">
        <v>0.33333333333333331</v>
      </c>
      <c r="I17" s="6">
        <v>0.33333333333333331</v>
      </c>
      <c r="J17" s="10" t="s">
        <v>15</v>
      </c>
    </row>
    <row r="18" spans="1:10" x14ac:dyDescent="0.3">
      <c r="A18" s="9" t="str">
        <f ca="1">_xlfn.XLOOKUP($A18,[1]Sheet3!$A:$A,[1]Sheet3!$B:$B," ",0)</f>
        <v>XYZ0-115329</v>
      </c>
      <c r="B18" s="2" t="s">
        <v>23</v>
      </c>
      <c r="C18" s="3" t="s">
        <v>11</v>
      </c>
      <c r="D18" s="3" t="s">
        <v>12</v>
      </c>
      <c r="E18" s="3" t="s">
        <v>19</v>
      </c>
      <c r="F18" s="4">
        <v>45908</v>
      </c>
      <c r="G18" s="5">
        <v>0</v>
      </c>
      <c r="H18" s="5">
        <v>0.33333333333333331</v>
      </c>
      <c r="I18" s="6">
        <v>0.33333333333333331</v>
      </c>
      <c r="J18" s="11" t="s">
        <v>24</v>
      </c>
    </row>
    <row r="19" spans="1:10" x14ac:dyDescent="0.3">
      <c r="A19" s="9" t="str">
        <f ca="1">_xlfn.XLOOKUP($A19,[1]Sheet3!$A:$A,[1]Sheet3!$B:$B," ",0)</f>
        <v>XYZ0-115329</v>
      </c>
      <c r="B19" s="2" t="s">
        <v>23</v>
      </c>
      <c r="C19" s="3" t="s">
        <v>11</v>
      </c>
      <c r="D19" s="3" t="s">
        <v>12</v>
      </c>
      <c r="E19" s="3" t="s">
        <v>19</v>
      </c>
      <c r="F19" s="4">
        <v>45912</v>
      </c>
      <c r="G19" s="5">
        <v>0.66666666666666663</v>
      </c>
      <c r="H19" s="5">
        <v>0</v>
      </c>
      <c r="I19" s="6">
        <v>0.33333333333333337</v>
      </c>
      <c r="J19" s="11" t="s">
        <v>24</v>
      </c>
    </row>
    <row r="20" spans="1:10" x14ac:dyDescent="0.3">
      <c r="A20" s="9" t="str">
        <f ca="1">_xlfn.XLOOKUP($A20,[1]Sheet3!$A:$A,[1]Sheet3!$B:$B," ",0)</f>
        <v>XYZ0-115329</v>
      </c>
      <c r="B20" s="2" t="s">
        <v>23</v>
      </c>
      <c r="C20" s="3" t="s">
        <v>11</v>
      </c>
      <c r="D20" s="3" t="s">
        <v>12</v>
      </c>
      <c r="E20" s="3" t="s">
        <v>19</v>
      </c>
      <c r="F20" s="4">
        <v>45915</v>
      </c>
      <c r="G20" s="5">
        <v>0</v>
      </c>
      <c r="H20" s="5">
        <v>0.33333333333333331</v>
      </c>
      <c r="I20" s="6">
        <v>0.33333333333333331</v>
      </c>
      <c r="J20" s="11" t="s">
        <v>20</v>
      </c>
    </row>
    <row r="21" spans="1:10" x14ac:dyDescent="0.3">
      <c r="A21" s="9" t="str">
        <f ca="1">_xlfn.XLOOKUP($A21,[1]Sheet3!$A:$A,[1]Sheet3!$B:$B," ",0)</f>
        <v>XYZ0-193377</v>
      </c>
      <c r="B21" s="2" t="s">
        <v>25</v>
      </c>
      <c r="C21" s="3" t="s">
        <v>11</v>
      </c>
      <c r="D21" s="3" t="s">
        <v>12</v>
      </c>
      <c r="E21" s="3" t="s">
        <v>19</v>
      </c>
      <c r="F21" s="4">
        <v>45905</v>
      </c>
      <c r="G21" s="5">
        <v>0.66666666666666663</v>
      </c>
      <c r="H21" s="5">
        <v>0</v>
      </c>
      <c r="I21" s="6">
        <v>0.33333333333333337</v>
      </c>
      <c r="J21" s="11" t="s">
        <v>15</v>
      </c>
    </row>
    <row r="22" spans="1:10" x14ac:dyDescent="0.3">
      <c r="A22" s="9" t="str">
        <f ca="1">_xlfn.XLOOKUP($A22,[1]Sheet3!$A:$A,[1]Sheet3!$B:$B," ",0)</f>
        <v>XYZ0-193377</v>
      </c>
      <c r="B22" s="2" t="s">
        <v>25</v>
      </c>
      <c r="C22" s="3" t="s">
        <v>11</v>
      </c>
      <c r="D22" s="3" t="s">
        <v>12</v>
      </c>
      <c r="E22" s="3" t="s">
        <v>19</v>
      </c>
      <c r="F22" s="4">
        <v>45910</v>
      </c>
      <c r="G22" s="5">
        <v>0.66666666666666663</v>
      </c>
      <c r="H22" s="5">
        <v>0</v>
      </c>
      <c r="I22" s="6">
        <v>0.33333333333333337</v>
      </c>
      <c r="J22" s="11" t="s">
        <v>24</v>
      </c>
    </row>
    <row r="23" spans="1:10" x14ac:dyDescent="0.3">
      <c r="A23" s="9" t="str">
        <f ca="1">_xlfn.XLOOKUP($A23,[1]Sheet3!$A:$A,[1]Sheet3!$B:$B," ",0)</f>
        <v>XYZ0-193377</v>
      </c>
      <c r="B23" s="2" t="s">
        <v>25</v>
      </c>
      <c r="C23" s="3" t="s">
        <v>11</v>
      </c>
      <c r="D23" s="3" t="s">
        <v>12</v>
      </c>
      <c r="E23" s="3" t="s">
        <v>19</v>
      </c>
      <c r="F23" s="4">
        <v>45911</v>
      </c>
      <c r="G23" s="5">
        <v>0.66666666666666663</v>
      </c>
      <c r="H23" s="5">
        <v>0</v>
      </c>
      <c r="I23" s="6">
        <v>0.33333333333333337</v>
      </c>
      <c r="J23" s="11" t="s">
        <v>24</v>
      </c>
    </row>
    <row r="24" spans="1:10" x14ac:dyDescent="0.3">
      <c r="A24" s="9" t="str">
        <f ca="1">_xlfn.XLOOKUP($A24,[1]Sheet3!$A:$A,[1]Sheet3!$B:$B," ",0)</f>
        <v>XYZ0-193377</v>
      </c>
      <c r="B24" s="2" t="s">
        <v>25</v>
      </c>
      <c r="C24" s="3" t="s">
        <v>11</v>
      </c>
      <c r="D24" s="3" t="s">
        <v>12</v>
      </c>
      <c r="E24" s="3" t="s">
        <v>19</v>
      </c>
      <c r="F24" s="4">
        <v>45915</v>
      </c>
      <c r="G24" s="5">
        <v>0</v>
      </c>
      <c r="H24" s="5">
        <v>0.33333333333333331</v>
      </c>
      <c r="I24" s="6">
        <v>0.33333333333333331</v>
      </c>
      <c r="J24" s="10" t="s">
        <v>20</v>
      </c>
    </row>
    <row r="25" spans="1:10" x14ac:dyDescent="0.3">
      <c r="A25" s="9" t="str">
        <f ca="1">_xlfn.XLOOKUP($A25,[1]Sheet3!$A:$A,[1]Sheet3!$B:$B," ",0)</f>
        <v>XYZ0-115331</v>
      </c>
      <c r="B25" s="2" t="s">
        <v>26</v>
      </c>
      <c r="C25" s="3" t="s">
        <v>11</v>
      </c>
      <c r="D25" s="3" t="s">
        <v>12</v>
      </c>
      <c r="E25" s="3" t="s">
        <v>19</v>
      </c>
      <c r="F25" s="4">
        <v>45905</v>
      </c>
      <c r="G25" s="5">
        <v>0</v>
      </c>
      <c r="H25" s="5">
        <v>0.33333333333333331</v>
      </c>
      <c r="I25" s="6">
        <v>0.33333333333333337</v>
      </c>
      <c r="J25" s="10" t="s">
        <v>15</v>
      </c>
    </row>
    <row r="26" spans="1:10" x14ac:dyDescent="0.3">
      <c r="A26" s="9" t="str">
        <f ca="1">_xlfn.XLOOKUP($A26,[1]Sheet3!$A:$A,[1]Sheet3!$B:$B," ",0)</f>
        <v>XYZ0-115331</v>
      </c>
      <c r="B26" s="2" t="s">
        <v>26</v>
      </c>
      <c r="C26" s="3" t="s">
        <v>11</v>
      </c>
      <c r="D26" s="3" t="s">
        <v>12</v>
      </c>
      <c r="E26" s="3" t="s">
        <v>19</v>
      </c>
      <c r="F26" s="4">
        <v>45904</v>
      </c>
      <c r="G26" s="5">
        <v>0.33333333333333331</v>
      </c>
      <c r="H26" s="5">
        <v>0.66666666666666663</v>
      </c>
      <c r="I26" s="6">
        <v>0.33333333333333331</v>
      </c>
      <c r="J26" s="11" t="s">
        <v>27</v>
      </c>
    </row>
    <row r="27" spans="1:10" x14ac:dyDescent="0.3">
      <c r="A27" s="9" t="str">
        <f ca="1">_xlfn.XLOOKUP($A27,[1]Sheet3!$A:$A,[1]Sheet3!$B:$B," ",0)</f>
        <v>XYZ0-115331</v>
      </c>
      <c r="B27" s="2" t="s">
        <v>26</v>
      </c>
      <c r="C27" s="3" t="s">
        <v>11</v>
      </c>
      <c r="D27" s="3" t="s">
        <v>12</v>
      </c>
      <c r="E27" s="3" t="s">
        <v>19</v>
      </c>
      <c r="F27" s="4">
        <v>45908</v>
      </c>
      <c r="G27" s="5">
        <v>0.33333333333333331</v>
      </c>
      <c r="H27" s="5">
        <v>0.66666666666666663</v>
      </c>
      <c r="I27" s="6">
        <v>0.33333333333333331</v>
      </c>
      <c r="J27" s="11" t="s">
        <v>20</v>
      </c>
    </row>
    <row r="28" spans="1:10" x14ac:dyDescent="0.3">
      <c r="A28" s="9" t="str">
        <f ca="1">_xlfn.XLOOKUP($A28,[1]Sheet3!$A:$A,[1]Sheet3!$B:$B," ",0)</f>
        <v>XYZ0-115331</v>
      </c>
      <c r="B28" s="2" t="s">
        <v>26</v>
      </c>
      <c r="C28" s="3" t="s">
        <v>11</v>
      </c>
      <c r="D28" s="3" t="s">
        <v>12</v>
      </c>
      <c r="E28" s="3" t="s">
        <v>19</v>
      </c>
      <c r="F28" s="4">
        <v>45907</v>
      </c>
      <c r="G28" s="5">
        <v>0</v>
      </c>
      <c r="H28" s="5">
        <v>0.33333333333333331</v>
      </c>
      <c r="I28" s="6">
        <v>0.33333333333333331</v>
      </c>
      <c r="J28" s="10" t="s">
        <v>24</v>
      </c>
    </row>
    <row r="29" spans="1:10" x14ac:dyDescent="0.3">
      <c r="A29" s="9" t="str">
        <f ca="1">_xlfn.XLOOKUP($A29,[1]Sheet3!$A:$A,[1]Sheet3!$B:$B," ",0)</f>
        <v>XYZ0-234340</v>
      </c>
      <c r="B29" s="2" t="s">
        <v>28</v>
      </c>
      <c r="C29" s="3" t="s">
        <v>11</v>
      </c>
      <c r="D29" s="3" t="s">
        <v>12</v>
      </c>
      <c r="E29" s="3" t="s">
        <v>19</v>
      </c>
      <c r="F29" s="4">
        <v>45905</v>
      </c>
      <c r="G29" s="5">
        <v>0.66666666666666663</v>
      </c>
      <c r="H29" s="5">
        <v>0</v>
      </c>
      <c r="I29" s="6">
        <v>0.33333333333333337</v>
      </c>
      <c r="J29" s="10" t="s">
        <v>15</v>
      </c>
    </row>
    <row r="30" spans="1:10" x14ac:dyDescent="0.3">
      <c r="A30" s="9" t="str">
        <f ca="1">_xlfn.XLOOKUP($A30,[1]Sheet3!$A:$A,[1]Sheet3!$B:$B," ",0)</f>
        <v>XYZ0-234340</v>
      </c>
      <c r="B30" s="2" t="s">
        <v>28</v>
      </c>
      <c r="C30" s="3" t="s">
        <v>11</v>
      </c>
      <c r="D30" s="3" t="s">
        <v>12</v>
      </c>
      <c r="E30" s="3" t="s">
        <v>19</v>
      </c>
      <c r="F30" s="4">
        <v>45906</v>
      </c>
      <c r="G30" s="5">
        <v>0</v>
      </c>
      <c r="H30" s="5">
        <v>0.33333333333333331</v>
      </c>
      <c r="I30" s="6">
        <v>0.33333333333333331</v>
      </c>
      <c r="J30" s="11" t="s">
        <v>24</v>
      </c>
    </row>
    <row r="31" spans="1:10" x14ac:dyDescent="0.3">
      <c r="A31" s="9" t="str">
        <f ca="1">_xlfn.XLOOKUP($A31,[1]Sheet3!$A:$A,[1]Sheet3!$B:$B," ",0)</f>
        <v>XYZ0-234340</v>
      </c>
      <c r="B31" s="2" t="s">
        <v>28</v>
      </c>
      <c r="C31" s="3" t="s">
        <v>11</v>
      </c>
      <c r="D31" s="3" t="s">
        <v>12</v>
      </c>
      <c r="E31" s="3" t="s">
        <v>19</v>
      </c>
      <c r="F31" s="4">
        <v>45908</v>
      </c>
      <c r="G31" s="5">
        <v>0.33333333333333331</v>
      </c>
      <c r="H31" s="5">
        <v>0.66666666666666663</v>
      </c>
      <c r="I31" s="6">
        <v>0.33333333333333331</v>
      </c>
      <c r="J31" s="11" t="s">
        <v>20</v>
      </c>
    </row>
    <row r="32" spans="1:10" x14ac:dyDescent="0.3">
      <c r="A32" s="9" t="str">
        <f ca="1">_xlfn.XLOOKUP($A32,[1]Sheet3!$A:$A,[1]Sheet3!$B:$B," ",0)</f>
        <v>XYZ0-234340</v>
      </c>
      <c r="B32" s="2" t="s">
        <v>28</v>
      </c>
      <c r="C32" s="3" t="s">
        <v>11</v>
      </c>
      <c r="D32" s="3" t="s">
        <v>12</v>
      </c>
      <c r="E32" s="3" t="s">
        <v>19</v>
      </c>
      <c r="F32" s="4">
        <v>45916</v>
      </c>
      <c r="G32" s="5">
        <v>0.33333333333333331</v>
      </c>
      <c r="H32" s="5">
        <v>0.66666666666666663</v>
      </c>
      <c r="I32" s="6">
        <v>0.33333333333333331</v>
      </c>
      <c r="J32" s="10" t="s">
        <v>24</v>
      </c>
    </row>
    <row r="33" spans="1:10" x14ac:dyDescent="0.3">
      <c r="A33" s="9" t="str">
        <f ca="1">_xlfn.XLOOKUP($A33,[1]Sheet3!$A:$A,[1]Sheet3!$B:$B," ",0)</f>
        <v>XYZ0-115315</v>
      </c>
      <c r="B33" s="2" t="s">
        <v>29</v>
      </c>
      <c r="C33" s="3" t="s">
        <v>11</v>
      </c>
      <c r="D33" s="3" t="s">
        <v>12</v>
      </c>
      <c r="E33" s="3" t="s">
        <v>19</v>
      </c>
      <c r="F33" s="4">
        <v>45901</v>
      </c>
      <c r="G33" s="5">
        <v>0.66666666666666663</v>
      </c>
      <c r="H33" s="5">
        <v>0</v>
      </c>
      <c r="I33" s="6">
        <v>0.33333333333333331</v>
      </c>
      <c r="J33" s="11" t="s">
        <v>20</v>
      </c>
    </row>
    <row r="34" spans="1:10" x14ac:dyDescent="0.3">
      <c r="A34" s="9" t="str">
        <f ca="1">_xlfn.XLOOKUP($A34,[1]Sheet3!$A:$A,[1]Sheet3!$B:$B," ",0)</f>
        <v>XYZ0-115315</v>
      </c>
      <c r="B34" s="2" t="s">
        <v>29</v>
      </c>
      <c r="C34" s="3" t="s">
        <v>11</v>
      </c>
      <c r="D34" s="3" t="s">
        <v>12</v>
      </c>
      <c r="E34" s="3" t="s">
        <v>19</v>
      </c>
      <c r="F34" s="4">
        <v>45905</v>
      </c>
      <c r="G34" s="5">
        <v>0.33333333333333331</v>
      </c>
      <c r="H34" s="5">
        <v>0.66666666666666663</v>
      </c>
      <c r="I34" s="6">
        <v>0.33333333333333337</v>
      </c>
      <c r="J34" s="10" t="s">
        <v>15</v>
      </c>
    </row>
    <row r="35" spans="1:10" x14ac:dyDescent="0.3">
      <c r="A35" s="9" t="str">
        <f ca="1">_xlfn.XLOOKUP($A35,[1]Sheet3!$A:$A,[1]Sheet3!$B:$B," ",0)</f>
        <v>XYZ0-115315</v>
      </c>
      <c r="B35" s="2" t="s">
        <v>29</v>
      </c>
      <c r="C35" s="3" t="s">
        <v>11</v>
      </c>
      <c r="D35" s="3" t="s">
        <v>12</v>
      </c>
      <c r="E35" s="3" t="s">
        <v>19</v>
      </c>
      <c r="F35" s="4">
        <v>45902</v>
      </c>
      <c r="G35" s="5">
        <v>0.33333333333333331</v>
      </c>
      <c r="H35" s="5">
        <v>0.66666666666666663</v>
      </c>
      <c r="I35" s="6">
        <v>0.33333333333333331</v>
      </c>
      <c r="J35" s="11" t="s">
        <v>27</v>
      </c>
    </row>
    <row r="36" spans="1:10" x14ac:dyDescent="0.3">
      <c r="A36" s="9" t="str">
        <f ca="1">_xlfn.XLOOKUP($A36,[1]Sheet3!$A:$A,[1]Sheet3!$B:$B," ",0)</f>
        <v>XYZ0-115315</v>
      </c>
      <c r="B36" s="2" t="s">
        <v>29</v>
      </c>
      <c r="C36" s="3" t="s">
        <v>11</v>
      </c>
      <c r="D36" s="3" t="s">
        <v>12</v>
      </c>
      <c r="E36" s="3" t="s">
        <v>19</v>
      </c>
      <c r="F36" s="4">
        <v>45914</v>
      </c>
      <c r="G36" s="8">
        <v>0.33333333333333331</v>
      </c>
      <c r="H36" s="8">
        <v>0.66666666666666663</v>
      </c>
      <c r="I36" s="6">
        <v>0.33333333333333331</v>
      </c>
      <c r="J36" s="11" t="s">
        <v>24</v>
      </c>
    </row>
    <row r="37" spans="1:10" x14ac:dyDescent="0.3">
      <c r="A37" s="9" t="str">
        <f ca="1">_xlfn.XLOOKUP($A37,[1]Sheet3!$A:$A,[1]Sheet3!$B:$B," ",0)</f>
        <v>XYZ0-240232</v>
      </c>
      <c r="B37" s="2" t="s">
        <v>30</v>
      </c>
      <c r="C37" s="3" t="s">
        <v>11</v>
      </c>
      <c r="D37" s="3" t="s">
        <v>12</v>
      </c>
      <c r="E37" s="3" t="s">
        <v>19</v>
      </c>
      <c r="F37" s="4">
        <v>45901</v>
      </c>
      <c r="G37" s="8">
        <v>0.66666666666666663</v>
      </c>
      <c r="H37" s="8">
        <v>0</v>
      </c>
      <c r="I37" s="6">
        <v>0.33333333333333337</v>
      </c>
      <c r="J37" s="11" t="s">
        <v>20</v>
      </c>
    </row>
    <row r="38" spans="1:10" x14ac:dyDescent="0.3">
      <c r="A38" s="9" t="str">
        <f ca="1">_xlfn.XLOOKUP($A38,[1]Sheet3!$A:$A,[1]Sheet3!$B:$B," ",0)</f>
        <v>XYZ0-240232</v>
      </c>
      <c r="B38" s="2" t="s">
        <v>30</v>
      </c>
      <c r="C38" s="3" t="s">
        <v>11</v>
      </c>
      <c r="D38" s="3" t="s">
        <v>12</v>
      </c>
      <c r="E38" s="3" t="s">
        <v>19</v>
      </c>
      <c r="F38" s="7">
        <v>45903</v>
      </c>
      <c r="G38" s="5">
        <v>0.33333333333333331</v>
      </c>
      <c r="H38" s="8">
        <v>0.66666666666666663</v>
      </c>
      <c r="I38" s="6">
        <v>0.33333333333333331</v>
      </c>
      <c r="J38" s="10" t="s">
        <v>27</v>
      </c>
    </row>
    <row r="39" spans="1:10" x14ac:dyDescent="0.3">
      <c r="A39" s="9" t="str">
        <f ca="1">_xlfn.XLOOKUP($A39,[1]Sheet3!$A:$A,[1]Sheet3!$B:$B," ",0)</f>
        <v>XYZ0-240232</v>
      </c>
      <c r="B39" s="2" t="s">
        <v>30</v>
      </c>
      <c r="C39" s="3" t="s">
        <v>11</v>
      </c>
      <c r="D39" s="3" t="s">
        <v>12</v>
      </c>
      <c r="E39" s="3" t="s">
        <v>19</v>
      </c>
      <c r="F39" s="7">
        <v>45905</v>
      </c>
      <c r="G39" s="5">
        <v>0.33333333333333331</v>
      </c>
      <c r="H39" s="8">
        <v>0.66666666666666663</v>
      </c>
      <c r="I39" s="6">
        <v>0.33333333333333331</v>
      </c>
      <c r="J39" s="10" t="s">
        <v>15</v>
      </c>
    </row>
    <row r="40" spans="1:10" x14ac:dyDescent="0.3">
      <c r="A40" s="17" t="str">
        <f ca="1">_xlfn.XLOOKUP($A40,[1]Sheet3!$A:$A,[1]Sheet3!$B:$B," ",0)</f>
        <v>XYZ0-240232</v>
      </c>
      <c r="B40" s="18" t="s">
        <v>30</v>
      </c>
      <c r="C40" s="19" t="s">
        <v>11</v>
      </c>
      <c r="D40" s="19" t="s">
        <v>12</v>
      </c>
      <c r="E40" s="19" t="s">
        <v>19</v>
      </c>
      <c r="F40" s="20">
        <v>45915</v>
      </c>
      <c r="G40" s="21">
        <v>0.33333333333333331</v>
      </c>
      <c r="H40" s="22">
        <v>0.66666666666666663</v>
      </c>
      <c r="I40" s="23">
        <v>0.33333333333333331</v>
      </c>
      <c r="J40" s="24" t="s">
        <v>24</v>
      </c>
    </row>
  </sheetData>
  <pageMargins left="0.7" right="0.7" top="0.75" bottom="0.75" header="0.3" footer="0.3"/>
  <ignoredErrors>
    <ignoredError sqref="A2:A40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karlina</dc:creator>
  <cp:lastModifiedBy>indah karlina</cp:lastModifiedBy>
  <dcterms:created xsi:type="dcterms:W3CDTF">2026-08-28T15:24:34Z</dcterms:created>
  <dcterms:modified xsi:type="dcterms:W3CDTF">2026-08-28T18:03:56Z</dcterms:modified>
</cp:coreProperties>
</file>