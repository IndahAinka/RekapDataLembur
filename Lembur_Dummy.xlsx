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codeName="ThisWorkbook"/>
  <mc:AlternateContent xmlns:mc="http://schemas.openxmlformats.org/markup-compatibility/2006">
    <mc:Choice Requires="x15">
      <x15ac:absPath xmlns:x15ac="http://schemas.microsoft.com/office/spreadsheetml/2010/11/ac" url="E:\Kantor\Lembur\"/>
    </mc:Choice>
  </mc:AlternateContent>
  <xr:revisionPtr revIDLastSave="0" documentId="8_{113F7F6B-000E-48CE-8BB2-ED1A1B0F9F0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Data" sheetId="1" r:id="rId1"/>
    <sheet name="Template" sheetId="2" r:id="rId2"/>
    <sheet name="NAMA 1" sheetId="387" r:id="rId3"/>
    <sheet name="Template (2)" sheetId="388" r:id="rId4"/>
    <sheet name="Indra Warman 1" sheetId="389" r:id="rId5"/>
    <sheet name="Indra Warman 2" sheetId="390" r:id="rId6"/>
    <sheet name="Indra Warman 3" sheetId="391" r:id="rId7"/>
    <sheet name="Indra Warman 4" sheetId="392" r:id="rId8"/>
    <sheet name="Syukurman Zebua 1" sheetId="393" r:id="rId9"/>
    <sheet name="Syukurman Zebua 2" sheetId="394" r:id="rId10"/>
    <sheet name="Renal Chandra 1" sheetId="395" r:id="rId11"/>
    <sheet name="Renal Chandra 2" sheetId="396" r:id="rId12"/>
    <sheet name="Renal Chandra 3" sheetId="397" r:id="rId13"/>
    <sheet name="Renal Chandra 4" sheetId="398" r:id="rId14"/>
    <sheet name="Rahmat Fajcly 1" sheetId="399" r:id="rId15"/>
    <sheet name="Rahmat Fajcly 2" sheetId="400" r:id="rId16"/>
    <sheet name="Rahmat Fajcly 3" sheetId="401" r:id="rId17"/>
    <sheet name="Rahmat Fajcly 4" sheetId="402" r:id="rId18"/>
    <sheet name="Syabran Jamil 1" sheetId="403" r:id="rId19"/>
    <sheet name="Syabran Jamil 2" sheetId="404" r:id="rId20"/>
    <sheet name="Syabran Jamil 3" sheetId="405" r:id="rId21"/>
    <sheet name="Syabran Jamil 4" sheetId="406" r:id="rId22"/>
    <sheet name="Dedi Nofianto 1" sheetId="407" r:id="rId23"/>
    <sheet name="Dedi Nofianto 2" sheetId="408" r:id="rId24"/>
    <sheet name="Dedi Nofianto 3" sheetId="409" r:id="rId25"/>
    <sheet name="Dedi Nofianto 4" sheetId="410" r:id="rId26"/>
    <sheet name="Eko Hari Santosa 1" sheetId="411" r:id="rId27"/>
    <sheet name="Eko Hari Santosa 2" sheetId="412" r:id="rId28"/>
    <sheet name="Eko Hari Santosa 3" sheetId="413" r:id="rId29"/>
    <sheet name="Eko Hari Santosa 4" sheetId="414" r:id="rId30"/>
    <sheet name="Eko Hari Santosa 5" sheetId="415" r:id="rId31"/>
    <sheet name="Iwan Taruna C 1" sheetId="416" r:id="rId32"/>
    <sheet name="Iwan Taruna C 2" sheetId="417" r:id="rId33"/>
    <sheet name="Iwan Taruna C 3" sheetId="418" r:id="rId34"/>
    <sheet name="Iwan Taruna C 4" sheetId="419" r:id="rId35"/>
    <sheet name="Andi Wijaya 1" sheetId="420" r:id="rId36"/>
    <sheet name="Andi Wijaya 2" sheetId="421" r:id="rId37"/>
    <sheet name="Andi Wijaya 3" sheetId="422" r:id="rId38"/>
    <sheet name="Andi Wijaya 4" sheetId="423" r:id="rId39"/>
    <sheet name="Andi Wijaya 5" sheetId="424" r:id="rId40"/>
    <sheet name="Syahril 1" sheetId="425" r:id="rId41"/>
    <sheet name="Syahril 2" sheetId="426" r:id="rId42"/>
    <sheet name="Syahril 3" sheetId="427" r:id="rId43"/>
    <sheet name="Syahril 4" sheetId="428" r:id="rId44"/>
    <sheet name="Syahril 5" sheetId="429" r:id="rId4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8" i="429" l="1"/>
  <c r="R37" i="429"/>
  <c r="Z26" i="429"/>
  <c r="L23" i="429"/>
  <c r="AA19" i="429" s="1"/>
  <c r="T22" i="429"/>
  <c r="T21" i="429"/>
  <c r="T20" i="429"/>
  <c r="W19" i="429"/>
  <c r="V19" i="429"/>
  <c r="U19" i="429"/>
  <c r="T19" i="429"/>
  <c r="T18" i="429"/>
  <c r="T14" i="429"/>
  <c r="T13" i="429"/>
  <c r="T12" i="429"/>
  <c r="T11" i="429"/>
  <c r="R38" i="428"/>
  <c r="R37" i="428"/>
  <c r="Z26" i="428"/>
  <c r="L23" i="428"/>
  <c r="AA19" i="428" s="1"/>
  <c r="T22" i="428"/>
  <c r="T21" i="428"/>
  <c r="T20" i="428"/>
  <c r="W19" i="428"/>
  <c r="V19" i="428"/>
  <c r="U19" i="428"/>
  <c r="T19" i="428"/>
  <c r="T18" i="428"/>
  <c r="T14" i="428"/>
  <c r="T13" i="428"/>
  <c r="T12" i="428"/>
  <c r="T11" i="428"/>
  <c r="R38" i="427"/>
  <c r="R37" i="427"/>
  <c r="Z26" i="427"/>
  <c r="L23" i="427"/>
  <c r="AA19" i="427" s="1"/>
  <c r="T22" i="427"/>
  <c r="T21" i="427"/>
  <c r="T20" i="427"/>
  <c r="W19" i="427"/>
  <c r="V19" i="427"/>
  <c r="U19" i="427"/>
  <c r="T19" i="427"/>
  <c r="T18" i="427"/>
  <c r="T14" i="427"/>
  <c r="T13" i="427"/>
  <c r="T12" i="427"/>
  <c r="T11" i="427"/>
  <c r="R38" i="426"/>
  <c r="R37" i="426"/>
  <c r="Z26" i="426"/>
  <c r="L23" i="426"/>
  <c r="AA19" i="426" s="1"/>
  <c r="T22" i="426"/>
  <c r="T21" i="426"/>
  <c r="T20" i="426"/>
  <c r="W19" i="426"/>
  <c r="V19" i="426"/>
  <c r="U19" i="426"/>
  <c r="T19" i="426"/>
  <c r="T18" i="426"/>
  <c r="T14" i="426"/>
  <c r="T13" i="426"/>
  <c r="T12" i="426"/>
  <c r="T11" i="426"/>
  <c r="R38" i="425"/>
  <c r="R37" i="425"/>
  <c r="Z26" i="425"/>
  <c r="L23" i="425"/>
  <c r="AA19" i="425" s="1"/>
  <c r="T22" i="425"/>
  <c r="T21" i="425"/>
  <c r="T20" i="425"/>
  <c r="W19" i="425"/>
  <c r="V19" i="425"/>
  <c r="U19" i="425"/>
  <c r="T19" i="425"/>
  <c r="T18" i="425"/>
  <c r="T14" i="425"/>
  <c r="T13" i="425"/>
  <c r="T12" i="425"/>
  <c r="T11" i="425"/>
  <c r="R38" i="424"/>
  <c r="R37" i="424"/>
  <c r="Z26" i="424"/>
  <c r="L23" i="424"/>
  <c r="AA19" i="424" s="1"/>
  <c r="T22" i="424"/>
  <c r="T21" i="424"/>
  <c r="T20" i="424"/>
  <c r="W19" i="424"/>
  <c r="V19" i="424"/>
  <c r="U19" i="424"/>
  <c r="T19" i="424"/>
  <c r="T18" i="424"/>
  <c r="T14" i="424"/>
  <c r="T13" i="424"/>
  <c r="T12" i="424"/>
  <c r="T11" i="424"/>
  <c r="P32" i="424" s="1"/>
  <c r="R38" i="423"/>
  <c r="R37" i="423"/>
  <c r="Z26" i="423"/>
  <c r="L23" i="423"/>
  <c r="AA19" i="423" s="1"/>
  <c r="T22" i="423"/>
  <c r="T21" i="423"/>
  <c r="T20" i="423"/>
  <c r="W19" i="423"/>
  <c r="V19" i="423"/>
  <c r="U19" i="423"/>
  <c r="T19" i="423"/>
  <c r="T18" i="423"/>
  <c r="T14" i="423"/>
  <c r="T13" i="423"/>
  <c r="T12" i="423"/>
  <c r="T11" i="423"/>
  <c r="R38" i="422"/>
  <c r="R37" i="422"/>
  <c r="Z26" i="422"/>
  <c r="L23" i="422"/>
  <c r="AA19" i="422" s="1"/>
  <c r="T22" i="422"/>
  <c r="T21" i="422"/>
  <c r="T20" i="422"/>
  <c r="W19" i="422"/>
  <c r="V19" i="422"/>
  <c r="U19" i="422"/>
  <c r="T19" i="422"/>
  <c r="T18" i="422"/>
  <c r="T14" i="422"/>
  <c r="T13" i="422"/>
  <c r="T12" i="422"/>
  <c r="T11" i="422"/>
  <c r="R38" i="421"/>
  <c r="R37" i="421"/>
  <c r="Z26" i="421"/>
  <c r="L23" i="421"/>
  <c r="AA19" i="421" s="1"/>
  <c r="T22" i="421"/>
  <c r="T21" i="421"/>
  <c r="T20" i="421"/>
  <c r="W19" i="421"/>
  <c r="V19" i="421"/>
  <c r="U19" i="421"/>
  <c r="T19" i="421"/>
  <c r="T18" i="421"/>
  <c r="T14" i="421"/>
  <c r="T13" i="421"/>
  <c r="T12" i="421"/>
  <c r="T11" i="421"/>
  <c r="R38" i="420"/>
  <c r="R37" i="420"/>
  <c r="Z26" i="420"/>
  <c r="L23" i="420"/>
  <c r="AA19" i="420" s="1"/>
  <c r="T22" i="420"/>
  <c r="T21" i="420"/>
  <c r="T20" i="420"/>
  <c r="W19" i="420"/>
  <c r="V19" i="420"/>
  <c r="U19" i="420"/>
  <c r="T19" i="420"/>
  <c r="T18" i="420"/>
  <c r="T14" i="420"/>
  <c r="T13" i="420"/>
  <c r="T12" i="420"/>
  <c r="T11" i="420"/>
  <c r="P32" i="420" s="1"/>
  <c r="R38" i="419"/>
  <c r="R37" i="419"/>
  <c r="Z26" i="419"/>
  <c r="L23" i="419"/>
  <c r="AA19" i="419" s="1"/>
  <c r="T22" i="419"/>
  <c r="T21" i="419"/>
  <c r="T20" i="419"/>
  <c r="W19" i="419"/>
  <c r="V19" i="419"/>
  <c r="U19" i="419"/>
  <c r="T19" i="419"/>
  <c r="T18" i="419"/>
  <c r="T14" i="419"/>
  <c r="T13" i="419"/>
  <c r="T12" i="419"/>
  <c r="T11" i="419"/>
  <c r="P32" i="419" s="1"/>
  <c r="R38" i="418"/>
  <c r="R37" i="418"/>
  <c r="Z26" i="418"/>
  <c r="L23" i="418"/>
  <c r="AA19" i="418" s="1"/>
  <c r="T22" i="418"/>
  <c r="T21" i="418"/>
  <c r="T20" i="418"/>
  <c r="W19" i="418"/>
  <c r="V19" i="418"/>
  <c r="U19" i="418"/>
  <c r="T19" i="418"/>
  <c r="T18" i="418"/>
  <c r="T14" i="418"/>
  <c r="T13" i="418"/>
  <c r="T12" i="418"/>
  <c r="T11" i="418"/>
  <c r="P32" i="418" s="1"/>
  <c r="R38" i="417"/>
  <c r="R37" i="417"/>
  <c r="Z26" i="417"/>
  <c r="L23" i="417"/>
  <c r="AA19" i="417" s="1"/>
  <c r="T22" i="417"/>
  <c r="T21" i="417"/>
  <c r="T20" i="417"/>
  <c r="W19" i="417"/>
  <c r="V19" i="417"/>
  <c r="U19" i="417"/>
  <c r="T19" i="417"/>
  <c r="T18" i="417"/>
  <c r="T14" i="417"/>
  <c r="T13" i="417"/>
  <c r="T12" i="417"/>
  <c r="T11" i="417"/>
  <c r="R38" i="416"/>
  <c r="R37" i="416"/>
  <c r="Z26" i="416"/>
  <c r="L23" i="416"/>
  <c r="AA19" i="416" s="1"/>
  <c r="T22" i="416"/>
  <c r="T21" i="416"/>
  <c r="T20" i="416"/>
  <c r="W19" i="416"/>
  <c r="V19" i="416"/>
  <c r="U19" i="416"/>
  <c r="T19" i="416"/>
  <c r="T18" i="416"/>
  <c r="T14" i="416"/>
  <c r="T13" i="416"/>
  <c r="T12" i="416"/>
  <c r="T11" i="416"/>
  <c r="R38" i="415"/>
  <c r="R37" i="415"/>
  <c r="Z26" i="415"/>
  <c r="L23" i="415"/>
  <c r="AA19" i="415" s="1"/>
  <c r="T22" i="415"/>
  <c r="T21" i="415"/>
  <c r="T20" i="415"/>
  <c r="W19" i="415"/>
  <c r="V19" i="415"/>
  <c r="U19" i="415"/>
  <c r="T19" i="415"/>
  <c r="T18" i="415"/>
  <c r="T14" i="415"/>
  <c r="T13" i="415"/>
  <c r="T12" i="415"/>
  <c r="T11" i="415"/>
  <c r="R38" i="414"/>
  <c r="R37" i="414"/>
  <c r="Z26" i="414"/>
  <c r="L23" i="414"/>
  <c r="AA19" i="414" s="1"/>
  <c r="T22" i="414"/>
  <c r="T21" i="414"/>
  <c r="T20" i="414"/>
  <c r="W19" i="414"/>
  <c r="V19" i="414"/>
  <c r="U19" i="414"/>
  <c r="T19" i="414"/>
  <c r="T18" i="414"/>
  <c r="T14" i="414"/>
  <c r="T13" i="414"/>
  <c r="T12" i="414"/>
  <c r="T11" i="414"/>
  <c r="R38" i="413"/>
  <c r="R37" i="413"/>
  <c r="Z26" i="413"/>
  <c r="L23" i="413"/>
  <c r="AA19" i="413" s="1"/>
  <c r="T22" i="413"/>
  <c r="T21" i="413"/>
  <c r="T20" i="413"/>
  <c r="W19" i="413"/>
  <c r="V19" i="413"/>
  <c r="U19" i="413"/>
  <c r="T19" i="413"/>
  <c r="T18" i="413"/>
  <c r="T14" i="413"/>
  <c r="T13" i="413"/>
  <c r="T12" i="413"/>
  <c r="T11" i="413"/>
  <c r="R38" i="412"/>
  <c r="R37" i="412"/>
  <c r="Z26" i="412"/>
  <c r="L23" i="412"/>
  <c r="AA19" i="412" s="1"/>
  <c r="T22" i="412"/>
  <c r="T21" i="412"/>
  <c r="T20" i="412"/>
  <c r="W19" i="412"/>
  <c r="V19" i="412"/>
  <c r="U19" i="412"/>
  <c r="T19" i="412"/>
  <c r="T18" i="412"/>
  <c r="T14" i="412"/>
  <c r="T13" i="412"/>
  <c r="T12" i="412"/>
  <c r="T11" i="412"/>
  <c r="R38" i="411"/>
  <c r="R37" i="411"/>
  <c r="Z26" i="411"/>
  <c r="L23" i="411"/>
  <c r="AA19" i="411" s="1"/>
  <c r="T22" i="411"/>
  <c r="T21" i="411"/>
  <c r="T20" i="411"/>
  <c r="W19" i="411"/>
  <c r="V19" i="411"/>
  <c r="U19" i="411"/>
  <c r="T19" i="411"/>
  <c r="T18" i="411"/>
  <c r="T14" i="411"/>
  <c r="T13" i="411"/>
  <c r="T12" i="411"/>
  <c r="T11" i="411"/>
  <c r="R38" i="410"/>
  <c r="R37" i="410"/>
  <c r="Z26" i="410"/>
  <c r="L23" i="410"/>
  <c r="AA19" i="410" s="1"/>
  <c r="T22" i="410"/>
  <c r="T21" i="410"/>
  <c r="T20" i="410"/>
  <c r="W19" i="410"/>
  <c r="V19" i="410"/>
  <c r="U19" i="410"/>
  <c r="T19" i="410"/>
  <c r="T18" i="410"/>
  <c r="T14" i="410"/>
  <c r="T13" i="410"/>
  <c r="T12" i="410"/>
  <c r="T11" i="410"/>
  <c r="P32" i="410" s="1"/>
  <c r="R38" i="409"/>
  <c r="R37" i="409"/>
  <c r="Z26" i="409"/>
  <c r="L23" i="409"/>
  <c r="AA19" i="409" s="1"/>
  <c r="T22" i="409"/>
  <c r="T21" i="409"/>
  <c r="T20" i="409"/>
  <c r="W19" i="409"/>
  <c r="V19" i="409"/>
  <c r="U19" i="409"/>
  <c r="T19" i="409"/>
  <c r="T18" i="409"/>
  <c r="T14" i="409"/>
  <c r="T13" i="409"/>
  <c r="T12" i="409"/>
  <c r="T11" i="409"/>
  <c r="R38" i="408"/>
  <c r="R37" i="408"/>
  <c r="Z26" i="408"/>
  <c r="L23" i="408"/>
  <c r="AA19" i="408" s="1"/>
  <c r="T22" i="408"/>
  <c r="T21" i="408"/>
  <c r="T20" i="408"/>
  <c r="W19" i="408"/>
  <c r="V19" i="408"/>
  <c r="U19" i="408"/>
  <c r="T19" i="408"/>
  <c r="T18" i="408"/>
  <c r="T14" i="408"/>
  <c r="T13" i="408"/>
  <c r="T12" i="408"/>
  <c r="T11" i="408"/>
  <c r="R38" i="407"/>
  <c r="R37" i="407"/>
  <c r="Z26" i="407"/>
  <c r="L23" i="407"/>
  <c r="AA19" i="407" s="1"/>
  <c r="T22" i="407"/>
  <c r="T21" i="407"/>
  <c r="T20" i="407"/>
  <c r="W19" i="407"/>
  <c r="V19" i="407"/>
  <c r="U19" i="407"/>
  <c r="T19" i="407"/>
  <c r="T18" i="407"/>
  <c r="T14" i="407"/>
  <c r="T13" i="407"/>
  <c r="T12" i="407"/>
  <c r="T11" i="407"/>
  <c r="R38" i="406"/>
  <c r="R37" i="406"/>
  <c r="Z26" i="406"/>
  <c r="L23" i="406"/>
  <c r="AA19" i="406" s="1"/>
  <c r="T22" i="406"/>
  <c r="T21" i="406"/>
  <c r="T20" i="406"/>
  <c r="W19" i="406"/>
  <c r="V19" i="406"/>
  <c r="U19" i="406"/>
  <c r="T19" i="406"/>
  <c r="T18" i="406"/>
  <c r="T14" i="406"/>
  <c r="T13" i="406"/>
  <c r="T12" i="406"/>
  <c r="T11" i="406"/>
  <c r="R38" i="405"/>
  <c r="R37" i="405"/>
  <c r="Z26" i="405"/>
  <c r="L23" i="405"/>
  <c r="AA19" i="405" s="1"/>
  <c r="T22" i="405"/>
  <c r="T21" i="405"/>
  <c r="T20" i="405"/>
  <c r="W19" i="405"/>
  <c r="V19" i="405"/>
  <c r="U19" i="405"/>
  <c r="T19" i="405"/>
  <c r="T18" i="405"/>
  <c r="T14" i="405"/>
  <c r="T13" i="405"/>
  <c r="T12" i="405"/>
  <c r="T11" i="405"/>
  <c r="R38" i="404"/>
  <c r="R37" i="404"/>
  <c r="Z26" i="404"/>
  <c r="L23" i="404"/>
  <c r="AA19" i="404" s="1"/>
  <c r="T22" i="404"/>
  <c r="T21" i="404"/>
  <c r="T20" i="404"/>
  <c r="W19" i="404"/>
  <c r="V19" i="404"/>
  <c r="U19" i="404"/>
  <c r="T19" i="404"/>
  <c r="T18" i="404"/>
  <c r="T14" i="404"/>
  <c r="T13" i="404"/>
  <c r="T12" i="404"/>
  <c r="T11" i="404"/>
  <c r="R38" i="403"/>
  <c r="R37" i="403"/>
  <c r="Z26" i="403"/>
  <c r="L23" i="403"/>
  <c r="AA19" i="403" s="1"/>
  <c r="T22" i="403"/>
  <c r="T21" i="403"/>
  <c r="T20" i="403"/>
  <c r="W19" i="403"/>
  <c r="V19" i="403"/>
  <c r="U19" i="403"/>
  <c r="T19" i="403"/>
  <c r="T18" i="403"/>
  <c r="T14" i="403"/>
  <c r="T13" i="403"/>
  <c r="T12" i="403"/>
  <c r="T11" i="403"/>
  <c r="R38" i="402"/>
  <c r="R37" i="402"/>
  <c r="Z26" i="402"/>
  <c r="L23" i="402"/>
  <c r="AA19" i="402" s="1"/>
  <c r="T22" i="402"/>
  <c r="T21" i="402"/>
  <c r="T20" i="402"/>
  <c r="W19" i="402"/>
  <c r="V19" i="402"/>
  <c r="U19" i="402"/>
  <c r="T19" i="402"/>
  <c r="T18" i="402"/>
  <c r="T14" i="402"/>
  <c r="T13" i="402"/>
  <c r="T12" i="402"/>
  <c r="T11" i="402"/>
  <c r="R38" i="401"/>
  <c r="R37" i="401"/>
  <c r="Z26" i="401"/>
  <c r="L23" i="401"/>
  <c r="AA19" i="401" s="1"/>
  <c r="T22" i="401"/>
  <c r="T21" i="401"/>
  <c r="T20" i="401"/>
  <c r="W19" i="401"/>
  <c r="V19" i="401"/>
  <c r="U19" i="401"/>
  <c r="T19" i="401"/>
  <c r="T18" i="401"/>
  <c r="T14" i="401"/>
  <c r="T13" i="401"/>
  <c r="T12" i="401"/>
  <c r="T11" i="401"/>
  <c r="R38" i="400"/>
  <c r="R37" i="400"/>
  <c r="Z26" i="400"/>
  <c r="L23" i="400"/>
  <c r="AA19" i="400" s="1"/>
  <c r="T22" i="400"/>
  <c r="T21" i="400"/>
  <c r="T20" i="400"/>
  <c r="W19" i="400"/>
  <c r="V19" i="400"/>
  <c r="U19" i="400"/>
  <c r="T19" i="400"/>
  <c r="T18" i="400"/>
  <c r="T14" i="400"/>
  <c r="T13" i="400"/>
  <c r="T12" i="400"/>
  <c r="T11" i="400"/>
  <c r="R38" i="399"/>
  <c r="R37" i="399"/>
  <c r="Z26" i="399"/>
  <c r="L23" i="399"/>
  <c r="AA19" i="399" s="1"/>
  <c r="T22" i="399"/>
  <c r="T21" i="399"/>
  <c r="T20" i="399"/>
  <c r="W19" i="399"/>
  <c r="V19" i="399"/>
  <c r="U19" i="399"/>
  <c r="T19" i="399"/>
  <c r="T18" i="399"/>
  <c r="T14" i="399"/>
  <c r="T13" i="399"/>
  <c r="T12" i="399"/>
  <c r="T11" i="399"/>
  <c r="R38" i="398"/>
  <c r="R37" i="398"/>
  <c r="Z26" i="398"/>
  <c r="L23" i="398"/>
  <c r="AA19" i="398" s="1"/>
  <c r="T22" i="398"/>
  <c r="T21" i="398"/>
  <c r="T20" i="398"/>
  <c r="W19" i="398"/>
  <c r="V19" i="398"/>
  <c r="U19" i="398"/>
  <c r="T19" i="398"/>
  <c r="T18" i="398"/>
  <c r="T14" i="398"/>
  <c r="T13" i="398"/>
  <c r="T12" i="398"/>
  <c r="T11" i="398"/>
  <c r="P32" i="398" s="1"/>
  <c r="R38" i="397"/>
  <c r="R37" i="397"/>
  <c r="Z26" i="397"/>
  <c r="L23" i="397"/>
  <c r="AA19" i="397" s="1"/>
  <c r="T22" i="397"/>
  <c r="T21" i="397"/>
  <c r="T20" i="397"/>
  <c r="W19" i="397"/>
  <c r="V19" i="397"/>
  <c r="U19" i="397"/>
  <c r="T19" i="397"/>
  <c r="T18" i="397"/>
  <c r="T14" i="397"/>
  <c r="T13" i="397"/>
  <c r="T12" i="397"/>
  <c r="T11" i="397"/>
  <c r="R38" i="396"/>
  <c r="R37" i="396"/>
  <c r="Z26" i="396"/>
  <c r="L23" i="396"/>
  <c r="AA19" i="396" s="1"/>
  <c r="T22" i="396"/>
  <c r="T21" i="396"/>
  <c r="T20" i="396"/>
  <c r="W19" i="396"/>
  <c r="V19" i="396"/>
  <c r="U19" i="396"/>
  <c r="T19" i="396"/>
  <c r="T18" i="396"/>
  <c r="T14" i="396"/>
  <c r="T13" i="396"/>
  <c r="T12" i="396"/>
  <c r="T11" i="396"/>
  <c r="R38" i="395"/>
  <c r="R37" i="395"/>
  <c r="Z26" i="395"/>
  <c r="L23" i="395"/>
  <c r="AA19" i="395" s="1"/>
  <c r="T22" i="395"/>
  <c r="T21" i="395"/>
  <c r="T20" i="395"/>
  <c r="W19" i="395"/>
  <c r="V19" i="395"/>
  <c r="U19" i="395"/>
  <c r="T19" i="395"/>
  <c r="T18" i="395"/>
  <c r="T14" i="395"/>
  <c r="T13" i="395"/>
  <c r="T12" i="395"/>
  <c r="T11" i="395"/>
  <c r="P32" i="395" s="1"/>
  <c r="R38" i="394"/>
  <c r="R37" i="394"/>
  <c r="Z26" i="394"/>
  <c r="L23" i="394"/>
  <c r="AA19" i="394" s="1"/>
  <c r="T22" i="394"/>
  <c r="T21" i="394"/>
  <c r="T20" i="394"/>
  <c r="W19" i="394"/>
  <c r="V19" i="394"/>
  <c r="U19" i="394"/>
  <c r="T19" i="394"/>
  <c r="T18" i="394"/>
  <c r="T14" i="394"/>
  <c r="T13" i="394"/>
  <c r="T12" i="394"/>
  <c r="T11" i="394"/>
  <c r="R38" i="393"/>
  <c r="R37" i="393"/>
  <c r="Z26" i="393"/>
  <c r="L23" i="393"/>
  <c r="AA19" i="393" s="1"/>
  <c r="T22" i="393"/>
  <c r="T21" i="393"/>
  <c r="T20" i="393"/>
  <c r="W19" i="393"/>
  <c r="V19" i="393"/>
  <c r="U19" i="393"/>
  <c r="T19" i="393"/>
  <c r="T18" i="393"/>
  <c r="T14" i="393"/>
  <c r="T13" i="393"/>
  <c r="T12" i="393"/>
  <c r="T11" i="393"/>
  <c r="R38" i="392"/>
  <c r="R37" i="392"/>
  <c r="Z26" i="392"/>
  <c r="L23" i="392"/>
  <c r="AA19" i="392" s="1"/>
  <c r="T22" i="392"/>
  <c r="T21" i="392"/>
  <c r="T20" i="392"/>
  <c r="W19" i="392"/>
  <c r="V19" i="392"/>
  <c r="U19" i="392"/>
  <c r="T19" i="392"/>
  <c r="T18" i="392"/>
  <c r="T14" i="392"/>
  <c r="T13" i="392"/>
  <c r="T12" i="392"/>
  <c r="T11" i="392"/>
  <c r="P32" i="392" s="1"/>
  <c r="R38" i="391"/>
  <c r="R37" i="391"/>
  <c r="Z26" i="391"/>
  <c r="L23" i="391"/>
  <c r="AA19" i="391" s="1"/>
  <c r="T22" i="391"/>
  <c r="T21" i="391"/>
  <c r="T20" i="391"/>
  <c r="W19" i="391"/>
  <c r="V19" i="391"/>
  <c r="U19" i="391"/>
  <c r="T19" i="391"/>
  <c r="T18" i="391"/>
  <c r="T14" i="391"/>
  <c r="T13" i="391"/>
  <c r="T12" i="391"/>
  <c r="T11" i="391"/>
  <c r="R38" i="390"/>
  <c r="R37" i="390"/>
  <c r="Z26" i="390"/>
  <c r="L23" i="390"/>
  <c r="AA19" i="390" s="1"/>
  <c r="T22" i="390"/>
  <c r="T21" i="390"/>
  <c r="T20" i="390"/>
  <c r="W19" i="390"/>
  <c r="V19" i="390"/>
  <c r="U19" i="390"/>
  <c r="T19" i="390"/>
  <c r="T18" i="390"/>
  <c r="T14" i="390"/>
  <c r="T13" i="390"/>
  <c r="T12" i="390"/>
  <c r="T11" i="390"/>
  <c r="R38" i="389"/>
  <c r="R37" i="389"/>
  <c r="Z26" i="389"/>
  <c r="L23" i="389"/>
  <c r="AA19" i="389" s="1"/>
  <c r="T22" i="389"/>
  <c r="T21" i="389"/>
  <c r="T20" i="389"/>
  <c r="W19" i="389"/>
  <c r="V19" i="389"/>
  <c r="U19" i="389"/>
  <c r="T19" i="389"/>
  <c r="T18" i="389"/>
  <c r="T14" i="389"/>
  <c r="T13" i="389"/>
  <c r="T12" i="389"/>
  <c r="T11" i="389"/>
  <c r="R38" i="388"/>
  <c r="R37" i="388"/>
  <c r="Z26" i="388"/>
  <c r="L23" i="388"/>
  <c r="AA19" i="388" s="1"/>
  <c r="T22" i="388"/>
  <c r="T21" i="388"/>
  <c r="T20" i="388"/>
  <c r="W19" i="388"/>
  <c r="V19" i="388"/>
  <c r="U19" i="388"/>
  <c r="T19" i="388"/>
  <c r="T18" i="388"/>
  <c r="T14" i="388"/>
  <c r="T13" i="388"/>
  <c r="T12" i="388"/>
  <c r="T11" i="388"/>
  <c r="R38" i="387"/>
  <c r="R37" i="387"/>
  <c r="Z26" i="387"/>
  <c r="L23" i="387"/>
  <c r="AA19" i="387" s="1"/>
  <c r="T22" i="387"/>
  <c r="T21" i="387"/>
  <c r="T20" i="387"/>
  <c r="W19" i="387"/>
  <c r="V19" i="387"/>
  <c r="U19" i="387"/>
  <c r="T19" i="387"/>
  <c r="T18" i="387"/>
  <c r="T14" i="387"/>
  <c r="T13" i="387"/>
  <c r="T12" i="387"/>
  <c r="T11" i="387"/>
  <c r="P33" i="429" l="1"/>
  <c r="P32" i="429"/>
  <c r="P33" i="428"/>
  <c r="P32" i="428"/>
  <c r="P33" i="424"/>
  <c r="P33" i="427"/>
  <c r="P32" i="427"/>
  <c r="P33" i="426"/>
  <c r="P32" i="426"/>
  <c r="P33" i="425"/>
  <c r="P32" i="425"/>
  <c r="P33" i="423"/>
  <c r="P32" i="423"/>
  <c r="P33" i="422"/>
  <c r="P32" i="422"/>
  <c r="P33" i="421"/>
  <c r="P32" i="421"/>
  <c r="P33" i="420"/>
  <c r="P33" i="419"/>
  <c r="P33" i="418"/>
  <c r="P33" i="417"/>
  <c r="P32" i="417"/>
  <c r="P33" i="416"/>
  <c r="P32" i="416"/>
  <c r="P33" i="415"/>
  <c r="P32" i="415"/>
  <c r="P33" i="414"/>
  <c r="P32" i="414"/>
  <c r="P33" i="413"/>
  <c r="P32" i="413"/>
  <c r="P33" i="412"/>
  <c r="P32" i="412"/>
  <c r="P33" i="411"/>
  <c r="P32" i="411"/>
  <c r="P33" i="410"/>
  <c r="P33" i="409"/>
  <c r="P32" i="409"/>
  <c r="P33" i="408"/>
  <c r="P32" i="408"/>
  <c r="P33" i="407"/>
  <c r="P32" i="407"/>
  <c r="P33" i="406"/>
  <c r="P32" i="406"/>
  <c r="P33" i="405"/>
  <c r="P32" i="405"/>
  <c r="P33" i="404"/>
  <c r="P32" i="404"/>
  <c r="P33" i="403"/>
  <c r="P32" i="403"/>
  <c r="P33" i="402"/>
  <c r="P32" i="402"/>
  <c r="P33" i="401"/>
  <c r="P32" i="401"/>
  <c r="P33" i="400"/>
  <c r="P32" i="400"/>
  <c r="P33" i="399"/>
  <c r="P32" i="399"/>
  <c r="P33" i="397"/>
  <c r="P33" i="398"/>
  <c r="P32" i="397"/>
  <c r="P33" i="396"/>
  <c r="P32" i="396"/>
  <c r="P33" i="395"/>
  <c r="P33" i="394"/>
  <c r="P32" i="394"/>
  <c r="P33" i="393"/>
  <c r="P32" i="393"/>
  <c r="P33" i="392"/>
  <c r="P33" i="391"/>
  <c r="P32" i="391"/>
  <c r="P33" i="390"/>
  <c r="P32" i="390"/>
  <c r="P33" i="389"/>
  <c r="P32" i="389"/>
  <c r="P33" i="387"/>
  <c r="P33" i="388"/>
  <c r="P32" i="388"/>
  <c r="P32" i="387"/>
  <c r="R38" i="2" l="1"/>
  <c r="R37" i="2"/>
  <c r="Z26" i="2"/>
  <c r="L23" i="2"/>
  <c r="AA19" i="2" s="1"/>
  <c r="T22" i="2"/>
  <c r="T21" i="2"/>
  <c r="T20" i="2"/>
  <c r="W19" i="2"/>
  <c r="V19" i="2"/>
  <c r="U19" i="2"/>
  <c r="T19" i="2"/>
  <c r="T18" i="2"/>
  <c r="T14" i="2"/>
  <c r="T13" i="2"/>
  <c r="T12" i="2"/>
  <c r="T11" i="2"/>
  <c r="P33" i="2" l="1"/>
  <c r="P32" i="2"/>
</calcChain>
</file>

<file path=xl/sharedStrings.xml><?xml version="1.0" encoding="utf-8"?>
<sst xmlns="http://schemas.openxmlformats.org/spreadsheetml/2006/main" count="4080" uniqueCount="116">
  <si>
    <t>NOPEK</t>
  </si>
  <si>
    <t>NAMA</t>
  </si>
  <si>
    <t>WILAYAH</t>
  </si>
  <si>
    <t>LOKASI</t>
  </si>
  <si>
    <t>JENIS PEKERJAAN</t>
  </si>
  <si>
    <t>TANGGAL</t>
  </si>
  <si>
    <t>JAM MULAI</t>
  </si>
  <si>
    <t>JAM SELESAI</t>
  </si>
  <si>
    <t>JUMLAH</t>
  </si>
  <si>
    <t>AKTIVITAS</t>
  </si>
  <si>
    <t>M093-115315</t>
  </si>
  <si>
    <t>Indra Warman</t>
  </si>
  <si>
    <t>MOR I</t>
  </si>
  <si>
    <t>Integrated Terminal Dumai Fuel</t>
  </si>
  <si>
    <t>Shift</t>
  </si>
  <si>
    <t>Kelebihan Jam Kerja</t>
  </si>
  <si>
    <t>Bantuan Personel Jaga</t>
  </si>
  <si>
    <t>Bekerja Pada Hari Libur Resmi</t>
  </si>
  <si>
    <t>M093-234340</t>
  </si>
  <si>
    <t>Syukurman Zebua</t>
  </si>
  <si>
    <t>Kelebihan jam kerja</t>
  </si>
  <si>
    <t>M093-115325</t>
  </si>
  <si>
    <t>Renal Chandra</t>
  </si>
  <si>
    <t>M093-243689</t>
  </si>
  <si>
    <t>Rahmat Fajcly</t>
  </si>
  <si>
    <t>M093-115316</t>
  </si>
  <si>
    <t>Syabran Jamil</t>
  </si>
  <si>
    <t>Bantuan personil jaga</t>
  </si>
  <si>
    <t>M093-115330</t>
  </si>
  <si>
    <t>Dedi Nofianto</t>
  </si>
  <si>
    <t>M093-115331</t>
  </si>
  <si>
    <t>Eko Hari Santosa</t>
  </si>
  <si>
    <t>M093-193377</t>
  </si>
  <si>
    <t>Iwan Taruna C</t>
  </si>
  <si>
    <t>M093-115329</t>
  </si>
  <si>
    <t>Andi Wijaya</t>
  </si>
  <si>
    <t>Harian</t>
  </si>
  <si>
    <t>M093-213167</t>
  </si>
  <si>
    <t>Syahril</t>
  </si>
  <si>
    <t xml:space="preserve"> s/d </t>
  </si>
  <si>
    <t>SURAT PERMINTAAN KERJA LEMBUR</t>
  </si>
  <si>
    <t xml:space="preserve">PT. PERTAMINA TRAINING &amp; CONSULTING </t>
  </si>
  <si>
    <t>No.- ………………….………………….</t>
  </si>
  <si>
    <t>SURAT PERINTAH KERJA LEMBUR</t>
  </si>
  <si>
    <t>Kepada Yth</t>
  </si>
  <si>
    <t>:</t>
  </si>
  <si>
    <t>Security Services Manager</t>
  </si>
  <si>
    <t>Dengan Ini Menugaskan:</t>
  </si>
  <si>
    <t>PT Pertamina Training &amp; Consulting</t>
  </si>
  <si>
    <t>Nama</t>
  </si>
  <si>
    <t>Mengharapkan bantuan saudara untuk menugaskan:</t>
  </si>
  <si>
    <t>No. ID Card</t>
  </si>
  <si>
    <t>Bagian/Penempatan</t>
  </si>
  <si>
    <t>Jenis Pekerjaan</t>
  </si>
  <si>
    <t>MOR I SUMBAGUT</t>
  </si>
  <si>
    <t>Untuk melaksanakan kerja lembur :</t>
  </si>
  <si>
    <t>Security Harian</t>
  </si>
  <si>
    <t>Hari/Tanggal</t>
  </si>
  <si>
    <t>Waktu</t>
  </si>
  <si>
    <t>Jumlah :</t>
  </si>
  <si>
    <t>Jam</t>
  </si>
  <si>
    <t>Lokasi</t>
  </si>
  <si>
    <t>Biaya Ditanggung Oleh</t>
  </si>
  <si>
    <t>Pekerjaan Yang Dilemburkan</t>
  </si>
  <si>
    <t>Waktu  Mulai/Selesai Pekerjaan</t>
  </si>
  <si>
    <t>WIB</t>
  </si>
  <si>
    <t>Integrated Terminal Dumai</t>
  </si>
  <si>
    <t>Perusahaan</t>
  </si>
  <si>
    <t>YBS,</t>
  </si>
  <si>
    <t>Menyetujui</t>
  </si>
  <si>
    <t>Mengetahui,</t>
  </si>
  <si>
    <t>Dumai,</t>
  </si>
  <si>
    <t>Rusmanan</t>
  </si>
  <si>
    <t>SECURITY</t>
  </si>
  <si>
    <t>HSE*)</t>
  </si>
  <si>
    <t>KETERANGAN</t>
  </si>
  <si>
    <t>PUKUL</t>
  </si>
  <si>
    <t>TANDA TANGAN</t>
  </si>
  <si>
    <t>*) Apabila memasuki area terbatas/larangan/limit hazard</t>
  </si>
  <si>
    <t>06/01/2025</t>
  </si>
  <si>
    <t>16/01/2025</t>
  </si>
  <si>
    <t>25/01/2025</t>
  </si>
  <si>
    <t>27/01/2025</t>
  </si>
  <si>
    <t>01/01/2025</t>
  </si>
  <si>
    <t>29/01/2025</t>
  </si>
  <si>
    <t>18/01/2025</t>
  </si>
  <si>
    <t>20/01/2025</t>
  </si>
  <si>
    <t>19/01/2025</t>
  </si>
  <si>
    <t>13/01/2025</t>
  </si>
  <si>
    <t>26/01/2025</t>
  </si>
  <si>
    <t>05/01/2025</t>
  </si>
  <si>
    <t>12/01/2025</t>
  </si>
  <si>
    <t>04/01/2025</t>
  </si>
  <si>
    <t>11/01/2025</t>
  </si>
  <si>
    <t>Senin, 06 Januari 2025</t>
  </si>
  <si>
    <t>Kamis, 16 Januari 2025</t>
  </si>
  <si>
    <t>Sabtu, 25 Januari 2025</t>
  </si>
  <si>
    <t>Senin, 27 Januari 2025</t>
  </si>
  <si>
    <t>Rabu, 01 Januari 2025</t>
  </si>
  <si>
    <t>Rabu, 29 Januari 2025</t>
  </si>
  <si>
    <t>Sabtu, 18 Januari 2025</t>
  </si>
  <si>
    <t>Senin, 20 Januari 2025</t>
  </si>
  <si>
    <t>Minggu, 19 Januari 2025</t>
  </si>
  <si>
    <t>Senin, 13 Januari 2025</t>
  </si>
  <si>
    <t>Minggu, 26 Januari 2025</t>
  </si>
  <si>
    <t>Minggu, 05 Januari 2025</t>
  </si>
  <si>
    <t>Minggu, 12 Januari 2025</t>
  </si>
  <si>
    <t>Sabtu, 04 Januari 2025</t>
  </si>
  <si>
    <t>Sabtu, 11 Januari 2025</t>
  </si>
  <si>
    <t>Jhonny Mangaraja Silalahi</t>
  </si>
  <si>
    <t>Rangga Pringga Yudha</t>
  </si>
  <si>
    <t>Sr. Spv I HSSE &amp; FLEET SAFETY</t>
  </si>
  <si>
    <t>Integrated Terminal Manager Dumai</t>
  </si>
  <si>
    <t>Security JENIS PEKERJAAN</t>
  </si>
  <si>
    <t>Security Shift</t>
  </si>
  <si>
    <t>Invalid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</si>
</sst>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\,m"/>
    <numFmt numFmtId="165" formatCode="[$-421]dddd\,\ dd\ mmmm\ yyyy;@"/>
    <numFmt numFmtId="166" formatCode="[$-421]dd\ mmmm\ yyyy;@"/>
    <numFmt numFmtId="169" formatCode="dd/mm/yyyy;@"/>
  </numFmts>
  <fonts count="11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24994659260841701"/>
        <bgColor indexed="64"/>
      </patternFill>
    </fill>
    <fill>
      <patternFill patternType="solid">
        <fgColor rgb="FFC000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dashed">
        <color rgb="FFA6A6A6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hair">
        <color auto="1"/>
      </bottom>
      <diagonal/>
    </border>
    <border>
      <left/>
      <right/>
      <top style="thin">
        <color rgb="FFFFFFFF"/>
      </top>
      <bottom style="hair">
        <color auto="1"/>
      </bottom>
      <diagonal/>
    </border>
    <border>
      <left/>
      <right style="thin">
        <color rgb="FFFFFFFF"/>
      </right>
      <top style="thin">
        <color rgb="FFFFFFFF"/>
      </top>
      <bottom style="hair">
        <color auto="1"/>
      </bottom>
      <diagonal/>
    </border>
    <border>
      <left style="thin">
        <color rgb="FFFFFFFF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rgb="FFFFFFFF"/>
      </right>
      <top style="hair">
        <color auto="1"/>
      </top>
      <bottom style="hair">
        <color auto="1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hair">
        <color rgb="FFFFFFFF"/>
      </left>
      <right style="hair">
        <color rgb="FFFFFFFF"/>
      </right>
      <top style="hair">
        <color auto="1"/>
      </top>
      <bottom style="hair">
        <color auto="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hair">
        <color auto="1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hair">
        <color auto="1"/>
      </top>
      <bottom style="hair">
        <color auto="1"/>
      </bottom>
      <diagonal/>
    </border>
    <border>
      <left style="thin">
        <color rgb="FFFFFFFF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rgb="FFFFFFFF"/>
      </right>
      <top/>
      <bottom style="hair">
        <color auto="1"/>
      </bottom>
      <diagonal/>
    </border>
    <border>
      <left style="thin">
        <color rgb="FFFFFFFF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rgb="FFFFFFFF"/>
      </right>
      <top style="hair">
        <color auto="1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A6A6A6"/>
      </left>
      <right/>
      <top style="thin">
        <color rgb="FFA6A6A6"/>
      </top>
      <bottom/>
      <diagonal/>
    </border>
    <border>
      <left/>
      <right/>
      <top style="thin">
        <color rgb="FFA6A6A6"/>
      </top>
      <bottom/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/>
      <top/>
      <bottom/>
      <diagonal/>
    </border>
    <border>
      <left/>
      <right style="thin">
        <color rgb="FFA6A6A6"/>
      </right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/>
      <right style="thin">
        <color rgb="FFA6A6A6"/>
      </right>
      <top/>
      <bottom style="thin">
        <color rgb="FFA6A6A6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auto="1"/>
      </bottom>
      <diagonal/>
    </border>
    <border>
      <left/>
      <right/>
      <top style="thin">
        <color rgb="FFFFFFFF"/>
      </top>
      <bottom style="thin">
        <color auto="1"/>
      </bottom>
      <diagonal/>
    </border>
    <border>
      <left/>
      <right style="thin">
        <color rgb="FFFFFFFF"/>
      </right>
      <top style="thin">
        <color rgb="FFFFFFFF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ashed">
        <color rgb="FFA6A6A6"/>
      </left>
      <right style="thin">
        <color rgb="FFFFFFFF"/>
      </right>
      <top/>
      <bottom style="thin">
        <color rgb="FFFFFFFF"/>
      </bottom>
      <diagonal/>
    </border>
    <border>
      <left style="dashed">
        <color rgb="FFA6A6A6"/>
      </left>
      <right style="thin">
        <color rgb="FFFFFFFF"/>
      </right>
      <top style="thin">
        <color rgb="FFFFFFFF"/>
      </top>
      <bottom/>
      <diagonal/>
    </border>
    <border>
      <left style="dashed">
        <color rgb="FFA6A6A6"/>
      </left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hair">
        <color auto="1"/>
      </bottom>
      <diagonal/>
    </border>
    <border>
      <left/>
      <right/>
      <top style="thin">
        <color theme="0"/>
      </top>
      <bottom style="hair">
        <color auto="1"/>
      </bottom>
      <diagonal/>
    </border>
    <border>
      <left/>
      <right style="thin">
        <color theme="0"/>
      </right>
      <top style="thin">
        <color theme="0"/>
      </top>
      <bottom style="hair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20" fontId="1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5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7" fillId="0" borderId="2" xfId="0" applyFont="1" applyBorder="1"/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0" fontId="7" fillId="0" borderId="11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7" xfId="0" applyFont="1" applyBorder="1" applyAlignment="1" applyProtection="1">
      <alignment horizontal="left" vertical="center"/>
      <protection locked="0"/>
    </xf>
    <xf numFmtId="0" fontId="7" fillId="0" borderId="8" xfId="0" applyFont="1" applyBorder="1" applyAlignment="1" applyProtection="1">
      <alignment horizontal="left" vertical="center"/>
      <protection locked="0"/>
    </xf>
    <xf numFmtId="0" fontId="7" fillId="0" borderId="9" xfId="0" applyFont="1" applyBorder="1" applyAlignment="1" applyProtection="1">
      <alignment horizontal="left" vertical="center"/>
      <protection locked="0"/>
    </xf>
    <xf numFmtId="0" fontId="7" fillId="0" borderId="10" xfId="0" applyFont="1" applyBorder="1" applyAlignment="1" applyProtection="1">
      <alignment horizontal="left" vertical="center"/>
      <protection locked="0"/>
    </xf>
    <xf numFmtId="0" fontId="7" fillId="0" borderId="11" xfId="0" applyFont="1" applyBorder="1" applyAlignment="1" applyProtection="1">
      <alignment horizontal="left" vertical="center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0" fontId="7" fillId="0" borderId="13" xfId="0" applyFont="1" applyBorder="1"/>
    <xf numFmtId="0" fontId="7" fillId="0" borderId="2" xfId="0" applyFont="1" applyBorder="1" applyAlignment="1">
      <alignment horizontal="right"/>
    </xf>
    <xf numFmtId="0" fontId="4" fillId="0" borderId="13" xfId="0" applyFont="1" applyBorder="1"/>
    <xf numFmtId="165" fontId="7" fillId="0" borderId="7" xfId="0" applyNumberFormat="1" applyFont="1" applyBorder="1" applyAlignment="1">
      <alignment horizontal="left" vertical="center"/>
    </xf>
    <xf numFmtId="20" fontId="7" fillId="0" borderId="10" xfId="0" applyNumberFormat="1" applyFont="1" applyBorder="1" applyAlignment="1">
      <alignment horizontal="center" vertical="center"/>
    </xf>
    <xf numFmtId="20" fontId="7" fillId="0" borderId="14" xfId="0" applyNumberFormat="1" applyFont="1" applyBorder="1" applyAlignment="1">
      <alignment vertical="center"/>
    </xf>
    <xf numFmtId="20" fontId="7" fillId="0" borderId="14" xfId="0" applyNumberFormat="1" applyFont="1" applyBorder="1" applyAlignment="1">
      <alignment horizontal="center" vertical="center"/>
    </xf>
    <xf numFmtId="20" fontId="7" fillId="0" borderId="12" xfId="0" applyNumberFormat="1" applyFont="1" applyBorder="1" applyAlignment="1">
      <alignment vertical="center"/>
    </xf>
    <xf numFmtId="0" fontId="7" fillId="0" borderId="2" xfId="0" applyFont="1" applyBorder="1" applyAlignment="1">
      <alignment horizontal="right" vertical="center"/>
    </xf>
    <xf numFmtId="164" fontId="7" fillId="0" borderId="15" xfId="0" applyNumberFormat="1" applyFont="1" applyBorder="1" applyAlignment="1">
      <alignment horizontal="center" vertical="center"/>
    </xf>
    <xf numFmtId="165" fontId="7" fillId="0" borderId="7" xfId="0" applyNumberFormat="1" applyFont="1" applyBorder="1" applyAlignment="1" applyProtection="1">
      <alignment horizontal="left" vertical="center"/>
      <protection locked="0"/>
    </xf>
    <xf numFmtId="165" fontId="7" fillId="0" borderId="8" xfId="0" applyNumberFormat="1" applyFont="1" applyBorder="1" applyAlignment="1" applyProtection="1">
      <alignment horizontal="left" vertical="center"/>
      <protection locked="0"/>
    </xf>
    <xf numFmtId="165" fontId="7" fillId="0" borderId="9" xfId="0" applyNumberFormat="1" applyFont="1" applyBorder="1" applyAlignment="1" applyProtection="1">
      <alignment horizontal="left" vertical="center"/>
      <protection locked="0"/>
    </xf>
    <xf numFmtId="0" fontId="7" fillId="0" borderId="16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17" xfId="0" applyFont="1" applyBorder="1" applyAlignment="1">
      <alignment horizontal="left" vertical="top" wrapText="1"/>
    </xf>
    <xf numFmtId="20" fontId="7" fillId="0" borderId="10" xfId="0" applyNumberFormat="1" applyFont="1" applyBorder="1" applyAlignment="1" applyProtection="1">
      <alignment horizontal="center" vertical="center"/>
      <protection locked="0"/>
    </xf>
    <xf numFmtId="20" fontId="7" fillId="0" borderId="18" xfId="0" applyNumberFormat="1" applyFont="1" applyBorder="1" applyAlignment="1" applyProtection="1">
      <alignment horizontal="center" vertical="center"/>
      <protection locked="0"/>
    </xf>
    <xf numFmtId="20" fontId="7" fillId="0" borderId="12" xfId="0" applyNumberFormat="1" applyFont="1" applyBorder="1" applyAlignment="1" applyProtection="1">
      <alignment vertical="center"/>
      <protection locked="0"/>
    </xf>
    <xf numFmtId="0" fontId="7" fillId="0" borderId="19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7" fillId="0" borderId="21" xfId="0" applyFont="1" applyBorder="1" applyAlignment="1">
      <alignment horizontal="left" vertical="top" wrapText="1"/>
    </xf>
    <xf numFmtId="0" fontId="7" fillId="0" borderId="22" xfId="0" applyFont="1" applyBorder="1" applyAlignment="1" applyProtection="1">
      <alignment horizontal="left" vertical="center"/>
      <protection locked="0"/>
    </xf>
    <xf numFmtId="0" fontId="7" fillId="0" borderId="23" xfId="0" applyFont="1" applyBorder="1" applyAlignment="1" applyProtection="1">
      <alignment horizontal="left" vertical="center"/>
      <protection locked="0"/>
    </xf>
    <xf numFmtId="0" fontId="7" fillId="0" borderId="24" xfId="0" applyFont="1" applyBorder="1" applyAlignment="1" applyProtection="1">
      <alignment horizontal="left" vertical="center"/>
      <protection locked="0"/>
    </xf>
    <xf numFmtId="0" fontId="4" fillId="0" borderId="25" xfId="0" applyFont="1" applyBorder="1"/>
    <xf numFmtId="0" fontId="7" fillId="0" borderId="25" xfId="0" applyFont="1" applyBorder="1"/>
    <xf numFmtId="0" fontId="7" fillId="0" borderId="3" xfId="0" applyFont="1" applyBorder="1" applyAlignment="1">
      <alignment horizontal="center" vertical="center"/>
    </xf>
    <xf numFmtId="0" fontId="4" fillId="0" borderId="5" xfId="0" applyFont="1" applyBorder="1"/>
    <xf numFmtId="0" fontId="7" fillId="0" borderId="2" xfId="0" applyFont="1" applyBorder="1" applyAlignment="1" applyProtection="1">
      <alignment horizontal="left" vertical="center"/>
      <protection locked="0"/>
    </xf>
    <xf numFmtId="166" fontId="7" fillId="0" borderId="3" xfId="0" applyNumberFormat="1" applyFont="1" applyBorder="1" applyAlignment="1" applyProtection="1">
      <alignment horizontal="left" vertical="center"/>
      <protection locked="0"/>
    </xf>
    <xf numFmtId="166" fontId="7" fillId="0" borderId="6" xfId="0" applyNumberFormat="1" applyFont="1" applyBorder="1" applyAlignment="1" applyProtection="1">
      <alignment horizontal="left" vertical="center"/>
      <protection locked="0"/>
    </xf>
    <xf numFmtId="0" fontId="7" fillId="0" borderId="3" xfId="0" applyFont="1" applyBorder="1"/>
    <xf numFmtId="0" fontId="7" fillId="0" borderId="31" xfId="0" applyFont="1" applyBorder="1" applyAlignment="1">
      <alignment horizontal="center"/>
    </xf>
    <xf numFmtId="0" fontId="7" fillId="0" borderId="32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7" xfId="0" applyFont="1" applyBorder="1" applyAlignment="1">
      <alignment horizontal="center"/>
    </xf>
    <xf numFmtId="0" fontId="7" fillId="0" borderId="2" xfId="0" applyFont="1" applyBorder="1" applyProtection="1">
      <protection locked="0"/>
    </xf>
    <xf numFmtId="166" fontId="7" fillId="0" borderId="2" xfId="0" applyNumberFormat="1" applyFont="1" applyBorder="1" applyProtection="1">
      <protection locked="0"/>
    </xf>
    <xf numFmtId="0" fontId="8" fillId="0" borderId="38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4" fillId="0" borderId="42" xfId="0" applyFont="1" applyBorder="1"/>
    <xf numFmtId="0" fontId="9" fillId="0" borderId="13" xfId="0" applyFont="1" applyBorder="1"/>
    <xf numFmtId="0" fontId="4" fillId="0" borderId="43" xfId="0" applyFont="1" applyBorder="1"/>
    <xf numFmtId="0" fontId="8" fillId="0" borderId="25" xfId="0" applyFont="1" applyBorder="1" applyAlignment="1">
      <alignment horizontal="left" vertical="center"/>
    </xf>
    <xf numFmtId="0" fontId="4" fillId="0" borderId="44" xfId="0" applyFont="1" applyBorder="1"/>
    <xf numFmtId="0" fontId="10" fillId="2" borderId="1" xfId="0" applyFont="1" applyFill="1" applyBorder="1" applyAlignment="1">
      <alignment horizontal="center" vertical="center"/>
    </xf>
    <xf numFmtId="0" fontId="10" fillId="2" borderId="45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0" fontId="7" fillId="0" borderId="5" xfId="0" applyFont="1" applyBorder="1"/>
    <xf numFmtId="0" fontId="10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20" fontId="7" fillId="0" borderId="45" xfId="0" applyNumberFormat="1" applyFont="1" applyBorder="1" applyAlignment="1" applyProtection="1">
      <alignment horizontal="center" vertical="center"/>
      <protection locked="0"/>
    </xf>
    <xf numFmtId="0" fontId="7" fillId="0" borderId="46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>
      <alignment horizontal="center"/>
    </xf>
    <xf numFmtId="0" fontId="7" fillId="0" borderId="1" xfId="0" applyFont="1" applyBorder="1" applyProtection="1">
      <protection locked="0"/>
    </xf>
    <xf numFmtId="0" fontId="7" fillId="0" borderId="47" xfId="0" applyFont="1" applyBorder="1" applyAlignment="1" applyProtection="1">
      <alignment horizontal="left" vertical="center"/>
      <protection locked="0"/>
    </xf>
    <xf numFmtId="0" fontId="7" fillId="0" borderId="48" xfId="0" applyFont="1" applyBorder="1" applyAlignment="1" applyProtection="1">
      <alignment horizontal="left" vertical="center"/>
      <protection locked="0"/>
    </xf>
    <xf numFmtId="0" fontId="7" fillId="0" borderId="49" xfId="0" applyFont="1" applyBorder="1" applyAlignment="1" applyProtection="1">
      <alignment horizontal="left" vertical="center"/>
      <protection locked="0"/>
    </xf>
    <xf numFmtId="169" fontId="1" fillId="0" borderId="1" xfId="0" quotePrefix="1" applyNumberFormat="1" applyFont="1" applyBorder="1" applyAlignment="1" applyProtection="1">
      <alignment horizontal="center"/>
      <protection locked="0"/>
    </xf>
    <xf numFmtId="169" fontId="0" fillId="0" borderId="0" xfId="0" applyNumberFormat="1"/>
    <xf numFmtId="0" fontId="7" fillId="0" borderId="41" xfId="0" applyFont="1" applyBorder="1" applyAlignment="1" applyProtection="1">
      <alignment horizontal="left"/>
      <protection locked="0"/>
    </xf>
    <xf numFmtId="49" fontId="1" fillId="0" borderId="1" xfId="0" applyNumberFormat="1" applyFont="1" applyBorder="1" applyAlignment="1" applyProtection="1">
      <alignment horizontal="center"/>
      <protection locked="0"/>
    </xf>
    <xf numFmtId="49" fontId="0" fillId="0" borderId="1" xfId="0" applyNumberFormat="1" applyBorder="1" applyAlignment="1" applyProtection="1">
      <alignment horizontal="center"/>
      <protection locked="0"/>
    </xf>
    <xf numFmtId="49" fontId="0" fillId="0" borderId="0" xfId="0" applyNumberFormat="1"/>
    <xf numFmtId="49" fontId="7" fillId="0" borderId="26" xfId="0" quotePrefix="1" applyNumberFormat="1" applyFont="1" applyBorder="1" applyAlignment="1" applyProtection="1">
      <alignment horizontal="left" vertical="top" wrapText="1"/>
      <protection locked="0"/>
    </xf>
    <xf numFmtId="49" fontId="7" fillId="0" borderId="27" xfId="0" quotePrefix="1" applyNumberFormat="1" applyFont="1" applyBorder="1" applyAlignment="1" applyProtection="1">
      <alignment horizontal="left" vertical="top" wrapText="1"/>
      <protection locked="0"/>
    </xf>
    <xf numFmtId="49" fontId="7" fillId="0" borderId="28" xfId="0" quotePrefix="1" applyNumberFormat="1" applyFont="1" applyBorder="1" applyAlignment="1" applyProtection="1">
      <alignment horizontal="left" vertical="top" wrapText="1"/>
      <protection locked="0"/>
    </xf>
    <xf numFmtId="49" fontId="7" fillId="0" borderId="29" xfId="0" quotePrefix="1" applyNumberFormat="1" applyFont="1" applyBorder="1" applyAlignment="1" applyProtection="1">
      <alignment horizontal="left" vertical="top" wrapText="1"/>
      <protection locked="0"/>
    </xf>
    <xf numFmtId="49" fontId="7" fillId="0" borderId="0" xfId="0" quotePrefix="1" applyNumberFormat="1" applyFont="1" applyAlignment="1" applyProtection="1">
      <alignment horizontal="left" vertical="top" wrapText="1"/>
      <protection locked="0"/>
    </xf>
    <xf numFmtId="49" fontId="7" fillId="0" borderId="30" xfId="0" quotePrefix="1" applyNumberFormat="1" applyFont="1" applyBorder="1" applyAlignment="1" applyProtection="1">
      <alignment horizontal="left" vertical="top" wrapText="1"/>
      <protection locked="0"/>
    </xf>
    <xf numFmtId="49" fontId="7" fillId="0" borderId="33" xfId="0" quotePrefix="1" applyNumberFormat="1" applyFont="1" applyBorder="1" applyAlignment="1" applyProtection="1">
      <alignment horizontal="left" vertical="top" wrapText="1"/>
      <protection locked="0"/>
    </xf>
    <xf numFmtId="49" fontId="7" fillId="0" borderId="34" xfId="0" quotePrefix="1" applyNumberFormat="1" applyFont="1" applyBorder="1" applyAlignment="1" applyProtection="1">
      <alignment horizontal="left" vertical="top" wrapText="1"/>
      <protection locked="0"/>
    </xf>
    <xf numFmtId="49" fontId="7" fillId="0" borderId="35" xfId="0" quotePrefix="1" applyNumberFormat="1" applyFont="1" applyBorder="1" applyAlignment="1" applyProtection="1">
      <alignment horizontal="lef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AEBF587C-091D-44BF-9159-DD713EFA1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2484E2DC-6DA1-4E92-AED3-D4CA7CBC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34E77F5D-EF95-4D2C-B1AF-0D2203A4D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F96607A7-0D9A-4A0A-AACE-4328A46A8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27D4DAB1-FA08-4D17-B64B-24F34263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A8628571-C35A-4880-B29C-7E93D96BB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E40F569C-46CF-45E0-8EE4-C67D48810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263A4265-9285-4CA4-8ED1-1FF33FF6E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75E95065-337C-4FA6-8345-07A4F2472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110FC05A-2834-45A2-8146-CD059E6B0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CC731AD5-9144-4829-ABC0-D5F480F03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24F33A2C-5767-4158-846C-B36A9745C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B6CA4D6F-9740-4250-A891-22AF21324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9066C097-E22A-4CE8-8B96-F6E3B4F2F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65ECE0D8-ED67-4CDC-8FA9-049B99AF5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243540D4-9145-497D-86C4-F91CD1144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5A525E9C-D98E-485C-A27E-C57634CC1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94476DC6-0033-4F42-A0A8-6E13AC17C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0F8D7B9D-5FB5-4782-917F-A86481F05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DE3CDC07-5431-49CB-A8E1-248FDE9C0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64B555E9-BE27-4D98-8E7D-7F4F4B65C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F3CE865A-AF50-4ADF-A494-276EB4C9D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3F732A89-5371-4022-BB7C-F35F5938B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080EC3AE-D93B-40E0-B259-1319E27D0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89EA705D-187D-4CF2-B264-6CBA7FDF6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FCAE14C0-DF1A-438B-9E96-49205C3D2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BEDF3277-0B20-4DF3-A966-61AA9CE15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0ADCC8DE-7CE4-4ED4-B0C0-33EB4D677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08255FD3-EDB3-4C70-A731-7B28B79B5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CC1377B5-97C7-4CF2-803D-BA84FC84D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A222D87D-F090-40CD-95FB-888757BEE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37763E5D-B88F-4B7A-803C-5C35F3E8D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9B9A1A9A-FF86-4848-90FE-667D8E22B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1619A1C4-B8CD-4B83-8EFF-FFE235443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4D77C5BC-04D7-4270-95CD-63FB6615A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E70EA304-DEFC-48FB-9B82-57C743F2D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479B1BB5-528D-45DC-A58F-ED8E734E0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8AC0B3AE-00F0-4375-A421-D28904A30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D1D04933-49BD-429F-9FB6-5738B99DE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9E5491FC-5F6F-4901-BADE-FEF927F21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2ADE8E3F-D632-4C8E-8290-98AB56305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088740ED-7A9D-4F22-AD11-46C5EDE44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8705541D-A50F-4A04-94EB-A4FFEEA21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164BAF04-8548-469E-A799-8E941D7CF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B9E23F53-C656-4D02-99CA-0471983F2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A33B3774-F21A-4233-B0E5-0F6843AFE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A1292164-1E50-4895-A91B-290455619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8FC6EF2C-7EBE-473B-B983-96397F872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B12597D2-EE5A-4D77-8BF6-24CFA9ACC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0164F851-421B-4115-ADE7-7FDC42C53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782B2FAC-A2B9-46ED-9698-81622624A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E6D8EDB3-2B64-4E6F-8C2C-9274C5C8A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A9519832-1C31-4783-BB2A-56DC361B0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17C59E0B-471C-49F0-8AF6-485AE0F8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0F1B874E-8C23-4608-8090-96D14B9DE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EB0A9F4B-96E8-4A7A-808D-6E7168286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AA399BA9-069B-4DCB-8D11-0EBD6D15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BC32157C-632B-4BB3-9CEA-A422C87A4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8928AA9F-8C8E-47CB-A8FC-243C4FB26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5E413C7F-88FC-4B8C-BEFE-2C75CF8FB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8863641B-5BA8-445C-9A20-0DC523827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87B46A37-2DC1-4912-91A3-9F23343BC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5595055C-D646-408D-9299-AC307A225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5F5703D3-32F9-4D23-A264-8CA2ACB5B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811B40E2-2E95-45AA-9DAA-4F7814A07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3838846B-1585-48BB-A860-CDE3EE45A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1E95A55A-EEC7-48CF-A670-C6F5AE61B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01393E41-6521-477E-B0BD-342A1166C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3B9AA679-354F-47BF-A91B-7110C3A7B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F20E3566-9E74-4F36-B9FA-B559FC826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FA8D878E-5E65-46D8-A983-7C480DF9B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E13784E7-1AFF-4292-8291-D638F1A6E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9E1A30FC-63EB-42B9-B2BF-DC1E2261E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9A3866C8-8599-4DEB-9C8E-5F5BE3EA3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F4CF3CDA-408F-418F-ABEE-5BC1D471B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2FD4AA90-F182-4595-B54B-12EF082A5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99EFAA18-5C9D-46ED-8E9E-9D6F6A2D3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08D16D4C-589B-4341-8C88-4CE8698CD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B0A7B9FA-F9B6-47AE-912B-49C469667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46497277-145D-4C0C-8030-FE1E827FF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061ED4DD-F370-40D2-A76D-106B8CEDD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DD44E532-A850-43BF-A02C-55132EEFB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2E2DD238-6872-4060-8CCB-9544E7FF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BBFAB307-CE1C-469C-AC1A-230B24CF3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F96A5FFF-24AD-4A1B-AE3D-A0F5B8F96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B8BBAE45-EEE6-4330-898E-2CDAF35D8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409016</xdr:colOff>
      <xdr:row>0</xdr:row>
      <xdr:rowOff>75622</xdr:rowOff>
    </xdr:from>
    <xdr:ext cx="1996906" cy="886017"/>
    <xdr:pic>
      <xdr:nvPicPr>
        <xdr:cNvPr id="2" name="Picture 1">
          <a:extLst>
            <a:ext uri="{FF2B5EF4-FFF2-40B4-BE49-F238E27FC236}">
              <a16:creationId xmlns:a16="http://schemas.microsoft.com/office/drawing/2014/main" id="{0AD3A6B1-F917-4DD9-BFF8-1EDAF54AF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52776" y="75622"/>
          <a:ext cx="1996906" cy="886017"/>
        </a:xfrm>
        <a:prstGeom prst="rect">
          <a:avLst/>
        </a:prstGeom>
      </xdr:spPr>
    </xdr:pic>
    <xdr:clientData/>
  </xdr:oneCellAnchor>
  <xdr:oneCellAnchor>
    <xdr:from>
      <xdr:col>9</xdr:col>
      <xdr:colOff>38489</xdr:colOff>
      <xdr:row>0</xdr:row>
      <xdr:rowOff>84288</xdr:rowOff>
    </xdr:from>
    <xdr:ext cx="2573695" cy="699376"/>
    <xdr:pic>
      <xdr:nvPicPr>
        <xdr:cNvPr id="3" name="Picture 2">
          <a:extLst>
            <a:ext uri="{FF2B5EF4-FFF2-40B4-BE49-F238E27FC236}">
              <a16:creationId xmlns:a16="http://schemas.microsoft.com/office/drawing/2014/main" id="{C63F9A83-5DED-435A-9403-57768DCA2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49629" y="84288"/>
          <a:ext cx="2573695" cy="6993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43"/>
  <sheetViews>
    <sheetView workbookViewId="0">
      <selection activeCell="I22" sqref="I22"/>
    </sheetView>
  </sheetViews>
  <sheetFormatPr defaultRowHeight="14.4" x14ac:dyDescent="0.3"/>
  <cols>
    <col min="1" max="1" width="13.44140625" customWidth="1"/>
    <col min="2" max="2" width="18.33203125" customWidth="1"/>
    <col min="4" max="4" width="29.6640625" customWidth="1"/>
    <col min="5" max="5" width="16.88671875" customWidth="1"/>
    <col min="6" max="6" width="11.5546875" style="96" customWidth="1"/>
    <col min="7" max="9" width="12.5546875" customWidth="1"/>
    <col min="10" max="10" width="36.5546875" style="100" customWidth="1"/>
  </cols>
  <sheetData>
    <row r="1" spans="1:10" x14ac:dyDescent="0.3">
      <c r="J1"/>
    </row>
    <row r="2" spans="1:10" x14ac:dyDescent="0.3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spans="1:10" x14ac:dyDescent="0.3">
      <c r="A3" s="4" t="s">
        <v>10</v>
      </c>
      <c r="B3" s="4" t="s">
        <v>11</v>
      </c>
      <c r="C3" s="5" t="s">
        <v>12</v>
      </c>
      <c r="D3" s="5" t="s">
        <v>13</v>
      </c>
      <c r="E3" s="5" t="s">
        <v>14</v>
      </c>
      <c r="F3" s="95" t="s">
        <v>79</v>
      </c>
      <c r="G3" s="1">
        <v>0</v>
      </c>
      <c r="H3" s="1">
        <v>0.33333333333333331</v>
      </c>
      <c r="I3" s="3">
        <v>0.33333333333333331</v>
      </c>
      <c r="J3" s="98" t="s">
        <v>15</v>
      </c>
    </row>
    <row r="4" spans="1:10" x14ac:dyDescent="0.3">
      <c r="A4" s="4" t="s">
        <v>10</v>
      </c>
      <c r="B4" s="4" t="s">
        <v>11</v>
      </c>
      <c r="C4" s="5" t="s">
        <v>12</v>
      </c>
      <c r="D4" s="5" t="s">
        <v>13</v>
      </c>
      <c r="E4" s="5" t="s">
        <v>14</v>
      </c>
      <c r="F4" s="95" t="s">
        <v>80</v>
      </c>
      <c r="G4" s="1">
        <v>0.66666666666666663</v>
      </c>
      <c r="H4" s="1">
        <v>0</v>
      </c>
      <c r="I4" s="3">
        <v>0.33333333333333337</v>
      </c>
      <c r="J4" s="99" t="s">
        <v>16</v>
      </c>
    </row>
    <row r="5" spans="1:10" x14ac:dyDescent="0.3">
      <c r="A5" s="4" t="s">
        <v>10</v>
      </c>
      <c r="B5" s="4" t="s">
        <v>11</v>
      </c>
      <c r="C5" s="5" t="s">
        <v>12</v>
      </c>
      <c r="D5" s="5" t="s">
        <v>13</v>
      </c>
      <c r="E5" s="5" t="s">
        <v>14</v>
      </c>
      <c r="F5" s="95" t="s">
        <v>81</v>
      </c>
      <c r="G5" s="1">
        <v>0.33333333333333331</v>
      </c>
      <c r="H5" s="1">
        <v>0.66666666666666663</v>
      </c>
      <c r="I5" s="3">
        <v>0.33333333333333331</v>
      </c>
      <c r="J5" s="98" t="s">
        <v>16</v>
      </c>
    </row>
    <row r="6" spans="1:10" x14ac:dyDescent="0.3">
      <c r="A6" s="4" t="s">
        <v>10</v>
      </c>
      <c r="B6" s="4" t="s">
        <v>11</v>
      </c>
      <c r="C6" s="5" t="s">
        <v>12</v>
      </c>
      <c r="D6" s="5" t="s">
        <v>13</v>
      </c>
      <c r="E6" s="5" t="s">
        <v>14</v>
      </c>
      <c r="F6" s="95" t="s">
        <v>82</v>
      </c>
      <c r="G6" s="1">
        <v>0.33333333333333331</v>
      </c>
      <c r="H6" s="1">
        <v>0.66666666666666663</v>
      </c>
      <c r="I6" s="3">
        <v>0.33333333333333331</v>
      </c>
      <c r="J6" s="99" t="s">
        <v>17</v>
      </c>
    </row>
    <row r="7" spans="1:10" x14ac:dyDescent="0.3">
      <c r="A7" s="4" t="s">
        <v>18</v>
      </c>
      <c r="B7" s="4" t="s">
        <v>19</v>
      </c>
      <c r="C7" s="5" t="s">
        <v>12</v>
      </c>
      <c r="D7" s="5" t="s">
        <v>13</v>
      </c>
      <c r="E7" s="5" t="s">
        <v>14</v>
      </c>
      <c r="F7" s="95" t="s">
        <v>79</v>
      </c>
      <c r="G7" s="1">
        <v>0</v>
      </c>
      <c r="H7" s="1">
        <v>0.33333333333333331</v>
      </c>
      <c r="I7" s="3">
        <v>0.33333333333333331</v>
      </c>
      <c r="J7" s="98" t="s">
        <v>20</v>
      </c>
    </row>
    <row r="8" spans="1:10" x14ac:dyDescent="0.3">
      <c r="A8" s="4" t="s">
        <v>18</v>
      </c>
      <c r="B8" s="4" t="s">
        <v>19</v>
      </c>
      <c r="C8" s="5" t="s">
        <v>12</v>
      </c>
      <c r="D8" s="5" t="s">
        <v>13</v>
      </c>
      <c r="E8" s="5" t="s">
        <v>14</v>
      </c>
      <c r="F8" s="95" t="s">
        <v>82</v>
      </c>
      <c r="G8" s="1">
        <v>0.33333333333333331</v>
      </c>
      <c r="H8" s="1">
        <v>0.66666666666666663</v>
      </c>
      <c r="I8" s="3">
        <v>0.33333333333333331</v>
      </c>
      <c r="J8" s="99" t="s">
        <v>17</v>
      </c>
    </row>
    <row r="9" spans="1:10" x14ac:dyDescent="0.3">
      <c r="A9" s="4" t="s">
        <v>21</v>
      </c>
      <c r="B9" s="4" t="s">
        <v>22</v>
      </c>
      <c r="C9" s="5" t="s">
        <v>12</v>
      </c>
      <c r="D9" s="5" t="s">
        <v>13</v>
      </c>
      <c r="E9" s="5" t="s">
        <v>14</v>
      </c>
      <c r="F9" s="95" t="s">
        <v>83</v>
      </c>
      <c r="G9" s="1">
        <v>0.33333333333333331</v>
      </c>
      <c r="H9" s="1">
        <v>0.66666666666666663</v>
      </c>
      <c r="I9" s="3">
        <v>0.33333333333333331</v>
      </c>
      <c r="J9" s="99" t="s">
        <v>17</v>
      </c>
    </row>
    <row r="10" spans="1:10" x14ac:dyDescent="0.3">
      <c r="A10" s="4" t="s">
        <v>21</v>
      </c>
      <c r="B10" s="4" t="s">
        <v>22</v>
      </c>
      <c r="C10" s="5" t="s">
        <v>12</v>
      </c>
      <c r="D10" s="5" t="s">
        <v>13</v>
      </c>
      <c r="E10" s="5" t="s">
        <v>14</v>
      </c>
      <c r="F10" s="95" t="s">
        <v>82</v>
      </c>
      <c r="G10" s="1">
        <v>0</v>
      </c>
      <c r="H10" s="1">
        <v>0.33333333333333331</v>
      </c>
      <c r="I10" s="3">
        <v>0.33333333333333331</v>
      </c>
      <c r="J10" s="98" t="s">
        <v>15</v>
      </c>
    </row>
    <row r="11" spans="1:10" x14ac:dyDescent="0.3">
      <c r="A11" s="4" t="s">
        <v>21</v>
      </c>
      <c r="B11" s="4" t="s">
        <v>22</v>
      </c>
      <c r="C11" s="5" t="s">
        <v>12</v>
      </c>
      <c r="D11" s="5" t="s">
        <v>13</v>
      </c>
      <c r="E11" s="5" t="s">
        <v>14</v>
      </c>
      <c r="F11" s="95" t="s">
        <v>82</v>
      </c>
      <c r="G11" s="1">
        <v>0</v>
      </c>
      <c r="H11" s="1">
        <v>0.33333333333333331</v>
      </c>
      <c r="I11" s="3">
        <v>0.33333333333333331</v>
      </c>
      <c r="J11" s="99" t="s">
        <v>17</v>
      </c>
    </row>
    <row r="12" spans="1:10" x14ac:dyDescent="0.3">
      <c r="A12" s="4" t="s">
        <v>21</v>
      </c>
      <c r="B12" s="4" t="s">
        <v>22</v>
      </c>
      <c r="C12" s="5" t="s">
        <v>12</v>
      </c>
      <c r="D12" s="5" t="s">
        <v>13</v>
      </c>
      <c r="E12" s="5" t="s">
        <v>14</v>
      </c>
      <c r="F12" s="95" t="s">
        <v>84</v>
      </c>
      <c r="G12" s="1">
        <v>0</v>
      </c>
      <c r="H12" s="1">
        <v>0.33333333333333331</v>
      </c>
      <c r="I12" s="3">
        <v>0.33333333333333331</v>
      </c>
      <c r="J12" s="99" t="s">
        <v>17</v>
      </c>
    </row>
    <row r="13" spans="1:10" x14ac:dyDescent="0.3">
      <c r="A13" s="4" t="s">
        <v>23</v>
      </c>
      <c r="B13" s="4" t="s">
        <v>24</v>
      </c>
      <c r="C13" s="5" t="s">
        <v>12</v>
      </c>
      <c r="D13" s="5" t="s">
        <v>13</v>
      </c>
      <c r="E13" s="5" t="s">
        <v>14</v>
      </c>
      <c r="F13" s="95" t="s">
        <v>83</v>
      </c>
      <c r="G13" s="1">
        <v>0.33333333333333331</v>
      </c>
      <c r="H13" s="1">
        <v>0.66666666666666663</v>
      </c>
      <c r="I13" s="3">
        <v>0.33333333333333331</v>
      </c>
      <c r="J13" s="99" t="s">
        <v>17</v>
      </c>
    </row>
    <row r="14" spans="1:10" x14ac:dyDescent="0.3">
      <c r="A14" s="4" t="s">
        <v>23</v>
      </c>
      <c r="B14" s="4" t="s">
        <v>24</v>
      </c>
      <c r="C14" s="5" t="s">
        <v>12</v>
      </c>
      <c r="D14" s="5" t="s">
        <v>13</v>
      </c>
      <c r="E14" s="5" t="s">
        <v>14</v>
      </c>
      <c r="F14" s="95" t="s">
        <v>82</v>
      </c>
      <c r="G14" s="1">
        <v>0</v>
      </c>
      <c r="H14" s="1">
        <v>0.33333333333333331</v>
      </c>
      <c r="I14" s="3">
        <v>0.33333333333333331</v>
      </c>
      <c r="J14" s="98" t="s">
        <v>15</v>
      </c>
    </row>
    <row r="15" spans="1:10" x14ac:dyDescent="0.3">
      <c r="A15" s="4" t="s">
        <v>23</v>
      </c>
      <c r="B15" s="4" t="s">
        <v>24</v>
      </c>
      <c r="C15" s="5" t="s">
        <v>12</v>
      </c>
      <c r="D15" s="5" t="s">
        <v>13</v>
      </c>
      <c r="E15" s="5" t="s">
        <v>14</v>
      </c>
      <c r="F15" s="95" t="s">
        <v>82</v>
      </c>
      <c r="G15" s="1">
        <v>0</v>
      </c>
      <c r="H15" s="1">
        <v>0.33333333333333331</v>
      </c>
      <c r="I15" s="3">
        <v>0.33333333333333331</v>
      </c>
      <c r="J15" s="99" t="s">
        <v>17</v>
      </c>
    </row>
    <row r="16" spans="1:10" x14ac:dyDescent="0.3">
      <c r="A16" s="4" t="s">
        <v>23</v>
      </c>
      <c r="B16" s="4" t="s">
        <v>24</v>
      </c>
      <c r="C16" s="5" t="s">
        <v>12</v>
      </c>
      <c r="D16" s="5" t="s">
        <v>13</v>
      </c>
      <c r="E16" s="5" t="s">
        <v>14</v>
      </c>
      <c r="F16" s="95" t="s">
        <v>84</v>
      </c>
      <c r="G16" s="1">
        <v>0</v>
      </c>
      <c r="H16" s="1">
        <v>0.33333333333333331</v>
      </c>
      <c r="I16" s="3">
        <v>0.33333333333333331</v>
      </c>
      <c r="J16" s="99" t="s">
        <v>17</v>
      </c>
    </row>
    <row r="17" spans="1:10" x14ac:dyDescent="0.3">
      <c r="A17" s="4" t="s">
        <v>25</v>
      </c>
      <c r="B17" s="4" t="s">
        <v>26</v>
      </c>
      <c r="C17" s="5" t="s">
        <v>12</v>
      </c>
      <c r="D17" s="5" t="s">
        <v>13</v>
      </c>
      <c r="E17" s="5" t="s">
        <v>14</v>
      </c>
      <c r="F17" s="95" t="s">
        <v>83</v>
      </c>
      <c r="G17" s="1">
        <v>0</v>
      </c>
      <c r="H17" s="1">
        <v>0.33333333333333331</v>
      </c>
      <c r="I17" s="3">
        <v>0.33333333333333331</v>
      </c>
      <c r="J17" s="99" t="s">
        <v>17</v>
      </c>
    </row>
    <row r="18" spans="1:10" x14ac:dyDescent="0.3">
      <c r="A18" s="4" t="s">
        <v>25</v>
      </c>
      <c r="B18" s="4" t="s">
        <v>26</v>
      </c>
      <c r="C18" s="5" t="s">
        <v>12</v>
      </c>
      <c r="D18" s="5" t="s">
        <v>13</v>
      </c>
      <c r="E18" s="5" t="s">
        <v>14</v>
      </c>
      <c r="F18" s="95" t="s">
        <v>85</v>
      </c>
      <c r="G18" s="1">
        <v>0.33333333333333331</v>
      </c>
      <c r="H18" s="1">
        <v>0.66666666666666663</v>
      </c>
      <c r="I18" s="3">
        <v>0.33333333333333331</v>
      </c>
      <c r="J18" s="99" t="s">
        <v>27</v>
      </c>
    </row>
    <row r="19" spans="1:10" x14ac:dyDescent="0.3">
      <c r="A19" s="4" t="s">
        <v>25</v>
      </c>
      <c r="B19" s="4" t="s">
        <v>26</v>
      </c>
      <c r="C19" s="5" t="s">
        <v>12</v>
      </c>
      <c r="D19" s="5" t="s">
        <v>13</v>
      </c>
      <c r="E19" s="5" t="s">
        <v>14</v>
      </c>
      <c r="F19" s="95" t="s">
        <v>86</v>
      </c>
      <c r="G19" s="1">
        <v>0.33333333333333331</v>
      </c>
      <c r="H19" s="1">
        <v>0.66666666666666663</v>
      </c>
      <c r="I19" s="3">
        <v>0.33333333333333331</v>
      </c>
      <c r="J19" s="99" t="s">
        <v>20</v>
      </c>
    </row>
    <row r="20" spans="1:10" x14ac:dyDescent="0.3">
      <c r="A20" s="4" t="s">
        <v>25</v>
      </c>
      <c r="B20" s="4" t="s">
        <v>26</v>
      </c>
      <c r="C20" s="5" t="s">
        <v>12</v>
      </c>
      <c r="D20" s="5" t="s">
        <v>13</v>
      </c>
      <c r="E20" s="5" t="s">
        <v>14</v>
      </c>
      <c r="F20" s="95" t="s">
        <v>84</v>
      </c>
      <c r="G20" s="1">
        <v>0.66666666666666663</v>
      </c>
      <c r="H20" s="1">
        <v>0</v>
      </c>
      <c r="I20" s="3">
        <v>0.33333333333333337</v>
      </c>
      <c r="J20" s="99" t="s">
        <v>17</v>
      </c>
    </row>
    <row r="21" spans="1:10" x14ac:dyDescent="0.3">
      <c r="A21" s="4" t="s">
        <v>28</v>
      </c>
      <c r="B21" s="4" t="s">
        <v>29</v>
      </c>
      <c r="C21" s="5" t="s">
        <v>12</v>
      </c>
      <c r="D21" s="5" t="s">
        <v>13</v>
      </c>
      <c r="E21" s="5" t="s">
        <v>14</v>
      </c>
      <c r="F21" s="95" t="s">
        <v>83</v>
      </c>
      <c r="G21" s="1">
        <v>0</v>
      </c>
      <c r="H21" s="1">
        <v>0.33333333333333331</v>
      </c>
      <c r="I21" s="3">
        <v>0.33333333333333331</v>
      </c>
      <c r="J21" s="99" t="s">
        <v>17</v>
      </c>
    </row>
    <row r="22" spans="1:10" x14ac:dyDescent="0.3">
      <c r="A22" s="4" t="s">
        <v>28</v>
      </c>
      <c r="B22" s="4" t="s">
        <v>29</v>
      </c>
      <c r="C22" s="5" t="s">
        <v>12</v>
      </c>
      <c r="D22" s="5" t="s">
        <v>13</v>
      </c>
      <c r="E22" s="5" t="s">
        <v>14</v>
      </c>
      <c r="F22" s="95" t="s">
        <v>87</v>
      </c>
      <c r="G22" s="1">
        <v>0.33333333333333331</v>
      </c>
      <c r="H22" s="1">
        <v>0.66666666666666663</v>
      </c>
      <c r="I22" s="3">
        <v>0.33333333333333331</v>
      </c>
      <c r="J22" s="98" t="s">
        <v>17</v>
      </c>
    </row>
    <row r="23" spans="1:10" x14ac:dyDescent="0.3">
      <c r="A23" s="4" t="s">
        <v>28</v>
      </c>
      <c r="B23" s="4" t="s">
        <v>29</v>
      </c>
      <c r="C23" s="5" t="s">
        <v>12</v>
      </c>
      <c r="D23" s="5" t="s">
        <v>13</v>
      </c>
      <c r="E23" s="5" t="s">
        <v>14</v>
      </c>
      <c r="F23" s="95" t="s">
        <v>86</v>
      </c>
      <c r="G23" s="1">
        <v>0.33333333333333331</v>
      </c>
      <c r="H23" s="1">
        <v>0.66666666666666663</v>
      </c>
      <c r="I23" s="3">
        <v>0.33333333333333331</v>
      </c>
      <c r="J23" s="99" t="s">
        <v>15</v>
      </c>
    </row>
    <row r="24" spans="1:10" x14ac:dyDescent="0.3">
      <c r="A24" s="4" t="s">
        <v>28</v>
      </c>
      <c r="B24" s="4" t="s">
        <v>29</v>
      </c>
      <c r="C24" s="5" t="s">
        <v>12</v>
      </c>
      <c r="D24" s="5" t="s">
        <v>13</v>
      </c>
      <c r="E24" s="5" t="s">
        <v>14</v>
      </c>
      <c r="F24" s="95" t="s">
        <v>84</v>
      </c>
      <c r="G24" s="1">
        <v>0.66666666666666663</v>
      </c>
      <c r="H24" s="1">
        <v>0</v>
      </c>
      <c r="I24" s="3">
        <v>0.33333333333333337</v>
      </c>
      <c r="J24" s="98" t="s">
        <v>17</v>
      </c>
    </row>
    <row r="25" spans="1:10" x14ac:dyDescent="0.3">
      <c r="A25" s="4" t="s">
        <v>30</v>
      </c>
      <c r="B25" s="4" t="s">
        <v>31</v>
      </c>
      <c r="C25" s="5" t="s">
        <v>12</v>
      </c>
      <c r="D25" s="5" t="s">
        <v>13</v>
      </c>
      <c r="E25" s="5" t="s">
        <v>14</v>
      </c>
      <c r="F25" s="95" t="s">
        <v>83</v>
      </c>
      <c r="G25" s="1">
        <v>0.66666666666666663</v>
      </c>
      <c r="H25" s="1">
        <v>0</v>
      </c>
      <c r="I25" s="3">
        <v>0.33333333333333337</v>
      </c>
      <c r="J25" s="98" t="s">
        <v>17</v>
      </c>
    </row>
    <row r="26" spans="1:10" x14ac:dyDescent="0.3">
      <c r="A26" s="4" t="s">
        <v>30</v>
      </c>
      <c r="B26" s="4" t="s">
        <v>31</v>
      </c>
      <c r="C26" s="5" t="s">
        <v>12</v>
      </c>
      <c r="D26" s="5" t="s">
        <v>13</v>
      </c>
      <c r="E26" s="5" t="s">
        <v>14</v>
      </c>
      <c r="F26" s="95" t="s">
        <v>88</v>
      </c>
      <c r="G26" s="1">
        <v>0.66666666666666663</v>
      </c>
      <c r="H26" s="1">
        <v>0</v>
      </c>
      <c r="I26" s="3">
        <v>0.33333333333333337</v>
      </c>
      <c r="J26" s="99" t="s">
        <v>20</v>
      </c>
    </row>
    <row r="27" spans="1:10" x14ac:dyDescent="0.3">
      <c r="A27" s="4" t="s">
        <v>30</v>
      </c>
      <c r="B27" s="4" t="s">
        <v>31</v>
      </c>
      <c r="C27" s="5" t="s">
        <v>12</v>
      </c>
      <c r="D27" s="5" t="s">
        <v>13</v>
      </c>
      <c r="E27" s="5" t="s">
        <v>14</v>
      </c>
      <c r="F27" s="95" t="s">
        <v>89</v>
      </c>
      <c r="G27" s="1">
        <v>0.33333333333333331</v>
      </c>
      <c r="H27" s="1">
        <v>0.66666666666666663</v>
      </c>
      <c r="I27" s="3">
        <v>0.33333333333333331</v>
      </c>
      <c r="J27" s="99" t="s">
        <v>27</v>
      </c>
    </row>
    <row r="28" spans="1:10" x14ac:dyDescent="0.3">
      <c r="A28" s="4" t="s">
        <v>30</v>
      </c>
      <c r="B28" s="4" t="s">
        <v>31</v>
      </c>
      <c r="C28" s="5" t="s">
        <v>12</v>
      </c>
      <c r="D28" s="5" t="s">
        <v>13</v>
      </c>
      <c r="E28" s="5" t="s">
        <v>14</v>
      </c>
      <c r="F28" s="95" t="s">
        <v>82</v>
      </c>
      <c r="G28" s="1">
        <v>0.66666666666666663</v>
      </c>
      <c r="H28" s="1">
        <v>0</v>
      </c>
      <c r="I28" s="3">
        <v>0.33333333333333337</v>
      </c>
      <c r="J28" s="98" t="s">
        <v>17</v>
      </c>
    </row>
    <row r="29" spans="1:10" x14ac:dyDescent="0.3">
      <c r="A29" s="4" t="s">
        <v>30</v>
      </c>
      <c r="B29" s="4" t="s">
        <v>31</v>
      </c>
      <c r="C29" s="5" t="s">
        <v>12</v>
      </c>
      <c r="D29" s="5" t="s">
        <v>13</v>
      </c>
      <c r="E29" s="5" t="s">
        <v>14</v>
      </c>
      <c r="F29" s="95" t="s">
        <v>84</v>
      </c>
      <c r="G29" s="1">
        <v>0.33333333333333331</v>
      </c>
      <c r="H29" s="1">
        <v>0.66666666666666663</v>
      </c>
      <c r="I29" s="3">
        <v>0.33333333333333331</v>
      </c>
      <c r="J29" s="98" t="s">
        <v>17</v>
      </c>
    </row>
    <row r="30" spans="1:10" x14ac:dyDescent="0.3">
      <c r="A30" s="4" t="s">
        <v>32</v>
      </c>
      <c r="B30" s="4" t="s">
        <v>33</v>
      </c>
      <c r="C30" s="5" t="s">
        <v>12</v>
      </c>
      <c r="D30" s="5" t="s">
        <v>13</v>
      </c>
      <c r="E30" s="5" t="s">
        <v>14</v>
      </c>
      <c r="F30" s="95" t="s">
        <v>83</v>
      </c>
      <c r="G30" s="1">
        <v>0.66666666666666663</v>
      </c>
      <c r="H30" s="1">
        <v>0</v>
      </c>
      <c r="I30" s="3">
        <v>0.33333333333333337</v>
      </c>
      <c r="J30" s="98" t="s">
        <v>17</v>
      </c>
    </row>
    <row r="31" spans="1:10" x14ac:dyDescent="0.3">
      <c r="A31" s="4" t="s">
        <v>32</v>
      </c>
      <c r="B31" s="4" t="s">
        <v>33</v>
      </c>
      <c r="C31" s="5" t="s">
        <v>12</v>
      </c>
      <c r="D31" s="5" t="s">
        <v>13</v>
      </c>
      <c r="E31" s="5" t="s">
        <v>14</v>
      </c>
      <c r="F31" s="95" t="s">
        <v>88</v>
      </c>
      <c r="G31" s="1">
        <v>0.66666666666666663</v>
      </c>
      <c r="H31" s="1">
        <v>0</v>
      </c>
      <c r="I31" s="3">
        <v>0.33333333333333337</v>
      </c>
      <c r="J31" s="98" t="s">
        <v>20</v>
      </c>
    </row>
    <row r="32" spans="1:10" x14ac:dyDescent="0.3">
      <c r="A32" s="4" t="s">
        <v>32</v>
      </c>
      <c r="B32" s="4" t="s">
        <v>33</v>
      </c>
      <c r="C32" s="5" t="s">
        <v>12</v>
      </c>
      <c r="D32" s="5" t="s">
        <v>13</v>
      </c>
      <c r="E32" s="5" t="s">
        <v>14</v>
      </c>
      <c r="F32" s="95" t="s">
        <v>82</v>
      </c>
      <c r="G32" s="1">
        <v>0.66666666666666663</v>
      </c>
      <c r="H32" s="1">
        <v>0</v>
      </c>
      <c r="I32" s="3">
        <v>0.33333333333333337</v>
      </c>
      <c r="J32" s="98" t="s">
        <v>17</v>
      </c>
    </row>
    <row r="33" spans="1:10" x14ac:dyDescent="0.3">
      <c r="A33" s="4" t="s">
        <v>32</v>
      </c>
      <c r="B33" s="4" t="s">
        <v>33</v>
      </c>
      <c r="C33" s="5" t="s">
        <v>12</v>
      </c>
      <c r="D33" s="5" t="s">
        <v>13</v>
      </c>
      <c r="E33" s="5" t="s">
        <v>14</v>
      </c>
      <c r="F33" s="95" t="s">
        <v>84</v>
      </c>
      <c r="G33" s="1">
        <v>0.33333333333333331</v>
      </c>
      <c r="H33" s="1">
        <v>0.66666666666666663</v>
      </c>
      <c r="I33" s="3">
        <v>0.33333333333333331</v>
      </c>
      <c r="J33" s="98" t="s">
        <v>17</v>
      </c>
    </row>
    <row r="34" spans="1:10" x14ac:dyDescent="0.3">
      <c r="A34" s="4" t="s">
        <v>34</v>
      </c>
      <c r="B34" s="4" t="s">
        <v>35</v>
      </c>
      <c r="C34" s="5" t="s">
        <v>12</v>
      </c>
      <c r="D34" s="5" t="s">
        <v>13</v>
      </c>
      <c r="E34" s="5" t="s">
        <v>36</v>
      </c>
      <c r="F34" s="95" t="s">
        <v>83</v>
      </c>
      <c r="G34" s="1">
        <v>0.33333333333333331</v>
      </c>
      <c r="H34" s="1">
        <v>0.66666666666666663</v>
      </c>
      <c r="I34" s="3">
        <v>0.33333333333333331</v>
      </c>
      <c r="J34" s="98" t="s">
        <v>17</v>
      </c>
    </row>
    <row r="35" spans="1:10" x14ac:dyDescent="0.3">
      <c r="A35" s="4" t="s">
        <v>34</v>
      </c>
      <c r="B35" s="4" t="s">
        <v>35</v>
      </c>
      <c r="C35" s="5" t="s">
        <v>12</v>
      </c>
      <c r="D35" s="5" t="s">
        <v>13</v>
      </c>
      <c r="E35" s="5" t="s">
        <v>36</v>
      </c>
      <c r="F35" s="95" t="s">
        <v>90</v>
      </c>
      <c r="G35" s="1">
        <v>0.33333333333333331</v>
      </c>
      <c r="H35" s="1">
        <v>0.66666666666666663</v>
      </c>
      <c r="I35" s="3">
        <v>0.33333333333333331</v>
      </c>
      <c r="J35" s="99" t="s">
        <v>27</v>
      </c>
    </row>
    <row r="36" spans="1:10" x14ac:dyDescent="0.3">
      <c r="A36" s="4" t="s">
        <v>34</v>
      </c>
      <c r="B36" s="4" t="s">
        <v>35</v>
      </c>
      <c r="C36" s="5" t="s">
        <v>12</v>
      </c>
      <c r="D36" s="5" t="s">
        <v>13</v>
      </c>
      <c r="E36" s="5" t="s">
        <v>36</v>
      </c>
      <c r="F36" s="95" t="s">
        <v>91</v>
      </c>
      <c r="G36" s="1">
        <v>0.33333333333333331</v>
      </c>
      <c r="H36" s="1">
        <v>0.66666666666666663</v>
      </c>
      <c r="I36" s="3">
        <v>0.33333333333333331</v>
      </c>
      <c r="J36" s="99" t="s">
        <v>27</v>
      </c>
    </row>
    <row r="37" spans="1:10" x14ac:dyDescent="0.3">
      <c r="A37" s="4" t="s">
        <v>34</v>
      </c>
      <c r="B37" s="4" t="s">
        <v>35</v>
      </c>
      <c r="C37" s="5" t="s">
        <v>12</v>
      </c>
      <c r="D37" s="5" t="s">
        <v>13</v>
      </c>
      <c r="E37" s="5" t="s">
        <v>36</v>
      </c>
      <c r="F37" s="95" t="s">
        <v>82</v>
      </c>
      <c r="G37" s="1">
        <v>0.33333333333333331</v>
      </c>
      <c r="H37" s="1">
        <v>0.66666666666666663</v>
      </c>
      <c r="I37" s="3">
        <v>0.33333333333333331</v>
      </c>
      <c r="J37" s="98" t="s">
        <v>17</v>
      </c>
    </row>
    <row r="38" spans="1:10" x14ac:dyDescent="0.3">
      <c r="A38" s="4" t="s">
        <v>34</v>
      </c>
      <c r="B38" s="4" t="s">
        <v>35</v>
      </c>
      <c r="C38" s="5" t="s">
        <v>12</v>
      </c>
      <c r="D38" s="5" t="s">
        <v>13</v>
      </c>
      <c r="E38" s="5" t="s">
        <v>36</v>
      </c>
      <c r="F38" s="95" t="s">
        <v>84</v>
      </c>
      <c r="G38" s="1">
        <v>0.33333333333333331</v>
      </c>
      <c r="H38" s="1">
        <v>0.66666666666666663</v>
      </c>
      <c r="I38" s="3">
        <v>0.33333333333333331</v>
      </c>
      <c r="J38" s="98" t="s">
        <v>17</v>
      </c>
    </row>
    <row r="39" spans="1:10" x14ac:dyDescent="0.3">
      <c r="A39" s="4" t="s">
        <v>37</v>
      </c>
      <c r="B39" s="4" t="s">
        <v>38</v>
      </c>
      <c r="C39" s="5" t="s">
        <v>12</v>
      </c>
      <c r="D39" s="5" t="s">
        <v>13</v>
      </c>
      <c r="E39" s="5" t="s">
        <v>36</v>
      </c>
      <c r="F39" s="95" t="s">
        <v>83</v>
      </c>
      <c r="G39" s="1">
        <v>0.33333333333333331</v>
      </c>
      <c r="H39" s="1">
        <v>0.66666666666666663</v>
      </c>
      <c r="I39" s="3">
        <v>0.33333333333333331</v>
      </c>
      <c r="J39" s="98" t="s">
        <v>17</v>
      </c>
    </row>
    <row r="40" spans="1:10" x14ac:dyDescent="0.3">
      <c r="A40" s="4" t="s">
        <v>37</v>
      </c>
      <c r="B40" s="4" t="s">
        <v>38</v>
      </c>
      <c r="C40" s="5" t="s">
        <v>12</v>
      </c>
      <c r="D40" s="5" t="s">
        <v>13</v>
      </c>
      <c r="E40" s="5" t="s">
        <v>36</v>
      </c>
      <c r="F40" s="95" t="s">
        <v>92</v>
      </c>
      <c r="G40" s="1">
        <v>0.33333333333333331</v>
      </c>
      <c r="H40" s="1">
        <v>0.66666666666666663</v>
      </c>
      <c r="I40" s="3">
        <v>0.33333333333333331</v>
      </c>
      <c r="J40" s="99" t="s">
        <v>27</v>
      </c>
    </row>
    <row r="41" spans="1:10" x14ac:dyDescent="0.3">
      <c r="A41" s="4" t="s">
        <v>37</v>
      </c>
      <c r="B41" s="4" t="s">
        <v>38</v>
      </c>
      <c r="C41" s="5" t="s">
        <v>12</v>
      </c>
      <c r="D41" s="5" t="s">
        <v>13</v>
      </c>
      <c r="E41" s="5" t="s">
        <v>36</v>
      </c>
      <c r="F41" s="95" t="s">
        <v>93</v>
      </c>
      <c r="G41" s="1">
        <v>0.33333333333333331</v>
      </c>
      <c r="H41" s="1">
        <v>0.66666666666666663</v>
      </c>
      <c r="I41" s="3">
        <v>0.33333333333333331</v>
      </c>
      <c r="J41" s="99" t="s">
        <v>27</v>
      </c>
    </row>
    <row r="42" spans="1:10" x14ac:dyDescent="0.3">
      <c r="A42" s="4" t="s">
        <v>37</v>
      </c>
      <c r="B42" s="4" t="s">
        <v>38</v>
      </c>
      <c r="C42" s="5" t="s">
        <v>12</v>
      </c>
      <c r="D42" s="5" t="s">
        <v>13</v>
      </c>
      <c r="E42" s="5" t="s">
        <v>36</v>
      </c>
      <c r="F42" s="95" t="s">
        <v>82</v>
      </c>
      <c r="G42" s="1">
        <v>0.33333333333333331</v>
      </c>
      <c r="H42" s="1">
        <v>0.66666666666666663</v>
      </c>
      <c r="I42" s="3">
        <v>0.33333333333333331</v>
      </c>
      <c r="J42" s="98" t="s">
        <v>17</v>
      </c>
    </row>
    <row r="43" spans="1:10" x14ac:dyDescent="0.3">
      <c r="A43" s="4" t="s">
        <v>37</v>
      </c>
      <c r="B43" s="4" t="s">
        <v>38</v>
      </c>
      <c r="C43" s="5" t="s">
        <v>12</v>
      </c>
      <c r="D43" s="5" t="s">
        <v>13</v>
      </c>
      <c r="E43" s="5" t="s">
        <v>36</v>
      </c>
      <c r="F43" s="95" t="s">
        <v>84</v>
      </c>
      <c r="G43" s="1">
        <v>0.33333333333333331</v>
      </c>
      <c r="H43" s="1">
        <v>0.66666666666666663</v>
      </c>
      <c r="I43" s="3">
        <v>0.33333333333333331</v>
      </c>
      <c r="J43" s="9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EA2E1-DED1-41E7-A455-D205E6423F48}">
  <sheetPr codeName="Sheet2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>
        <f>F14</f>
        <v>0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>
        <f>F15</f>
        <v>0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/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>
        <f>F17</f>
        <v>0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/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/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>
        <f>F22</f>
        <v>0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</v>
      </c>
      <c r="W19" s="37" t="str">
        <f>I23</f>
        <v>WIB</v>
      </c>
      <c r="X19" s="39"/>
      <c r="Y19" s="17"/>
      <c r="Z19" s="40" t="s">
        <v>59</v>
      </c>
      <c r="AA19" s="41">
        <f>L23</f>
        <v>0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/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>
        <f>F26</f>
        <v>0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/>
      <c r="G23" s="38" t="s">
        <v>39</v>
      </c>
      <c r="H23" s="49"/>
      <c r="I23" s="50" t="s">
        <v>65</v>
      </c>
      <c r="K23" s="18" t="s">
        <v>59</v>
      </c>
      <c r="L23" s="41">
        <f>H23-F23+IF(F23&gt;H23,1)</f>
        <v>0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/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45443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45789</v>
      </c>
      <c r="N32" s="8"/>
      <c r="O32" s="9"/>
      <c r="P32" s="73">
        <f>T11</f>
        <v>0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0 0 MOR I SUMBAGUT Integrated Terminal Dumai 0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ACA5FFD1-05A8-4DDE-B126-7EE6BAEA50F8}">
      <formula1>"WIB,WIT,WITA"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BD28-654E-4E25-A3A4-5A21D020BED6}">
  <sheetPr codeName="Sheet3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NAMA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NOPEK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JENIS PEKERJAAN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113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TANGGAL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 t="str">
        <f>F23</f>
        <v>JAM MULAI</v>
      </c>
      <c r="U19" s="37" t="str">
        <f>G23</f>
        <v xml:space="preserve"> s/d </v>
      </c>
      <c r="V19" s="38" t="str">
        <f>H23</f>
        <v>JAM SELESAI</v>
      </c>
      <c r="W19" s="37" t="str">
        <f>I23</f>
        <v>WIB</v>
      </c>
      <c r="X19" s="39"/>
      <c r="Y19" s="17"/>
      <c r="Z19" s="40" t="s">
        <v>59</v>
      </c>
      <c r="AA19" s="41" t="e">
        <f>L23</f>
        <v>#VALUE!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5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AKTIVITAS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 t="s">
        <v>6</v>
      </c>
      <c r="G23" s="38" t="s">
        <v>39</v>
      </c>
      <c r="H23" s="49" t="s">
        <v>7</v>
      </c>
      <c r="I23" s="50" t="s">
        <v>65</v>
      </c>
      <c r="K23" s="18" t="s">
        <v>59</v>
      </c>
      <c r="L23" s="41" t="e">
        <f>H23-F23+IF(F23&gt;H23,1)</f>
        <v>#VALUE!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9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45443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45789</v>
      </c>
      <c r="N32" s="8"/>
      <c r="O32" s="9"/>
      <c r="P32" s="73" t="str">
        <f>T11</f>
        <v>NAMA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NAMA NOPEK MOR I SUMBAGUT Integrated Terminal Dumai AKTIVITAS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 t="str">
        <f>F23</f>
        <v>JAM MULAI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 t="str">
        <f>H23</f>
        <v>JAM SELESAI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23B6E24F-5154-4D63-A0E8-149365B228C4}">
      <formula1>"WIB,WIT,WITA"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B16F1-BCBC-4424-9918-1C8884EF6159}">
  <sheetPr codeName="Sheet4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NAMA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NOPEK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JENIS PEKERJAAN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113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Invalid Date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 t="str">
        <f>F23</f>
        <v>JAM MULAI</v>
      </c>
      <c r="U19" s="37" t="str">
        <f>G23</f>
        <v xml:space="preserve"> s/d </v>
      </c>
      <c r="V19" s="38" t="str">
        <f>H23</f>
        <v>JAM SELESAI</v>
      </c>
      <c r="W19" s="37" t="str">
        <f>I23</f>
        <v>WIB</v>
      </c>
      <c r="X19" s="39"/>
      <c r="Y19" s="17"/>
      <c r="Z19" s="40" t="s">
        <v>59</v>
      </c>
      <c r="AA19" s="41" t="e">
        <f>L23</f>
        <v>#VALUE!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115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AKTIVITAS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 t="s">
        <v>6</v>
      </c>
      <c r="G23" s="38" t="s">
        <v>39</v>
      </c>
      <c r="H23" s="49" t="s">
        <v>7</v>
      </c>
      <c r="I23" s="50" t="s">
        <v>65</v>
      </c>
      <c r="K23" s="18" t="s">
        <v>59</v>
      </c>
      <c r="L23" s="41" t="e">
        <f>H23-F23+IF(F23&gt;H23,1)</f>
        <v>#VALUE!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9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45443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45789</v>
      </c>
      <c r="N32" s="8"/>
      <c r="O32" s="9"/>
      <c r="P32" s="73" t="str">
        <f>T11</f>
        <v>NAMA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NAMA NOPEK MOR I SUMBAGUT Integrated Terminal Dumai AKTIVITAS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 t="str">
        <f>F23</f>
        <v>JAM MULAI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 t="str">
        <f>H23</f>
        <v>JAM SELESAI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6F9C935F-D328-48B9-A8B3-32B5709844F0}">
      <formula1>"WIB,WIT,WITA"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8993E-64DA-42E0-8E50-91C589E88BDC}">
  <sheetPr codeName="Sheet5"/>
  <dimension ref="B1:AB85"/>
  <sheetViews>
    <sheetView topLeftCell="A16" zoomScale="64" zoomScaleNormal="100" workbookViewId="0">
      <selection activeCell="B38" sqref="B38:F38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Indra Warman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M093-115315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11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10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06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0.33333333333333331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94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Kelebihan Jam Kerja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</v>
      </c>
      <c r="G23" s="38" t="s">
        <v>39</v>
      </c>
      <c r="H23" s="49">
        <v>0.33333333333333331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15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45660</v>
      </c>
      <c r="N32" s="8"/>
      <c r="O32" s="9"/>
      <c r="P32" s="73" t="str">
        <f>T11</f>
        <v>Indra Warman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Indra Warman M093-115315 MOR I SUMBAGUT Integrated Terminal Dumai Kelebihan Jam Kerja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0.33333333333333331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3E24601B-5BA7-45B0-BCBE-F376FCB0DEAC}">
      <formula1>"WIB,WIT,WITA"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CED13-85D1-4682-996D-1BD81682CD7F}">
  <sheetPr codeName="Sheet6"/>
  <dimension ref="B1:AB85"/>
  <sheetViews>
    <sheetView tabSelected="1" topLeftCell="C1" zoomScale="49" zoomScaleNormal="100" workbookViewId="0">
      <selection activeCell="T22" sqref="T22:AB24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Indra Warman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M093-115315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11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10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Kamis, 16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0.66666666666666663</v>
      </c>
      <c r="U19" s="37" t="str">
        <f>G23</f>
        <v xml:space="preserve"> s/d </v>
      </c>
      <c r="V19" s="38">
        <f>H23</f>
        <v>0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0.33333333333333337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95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Bantuan Personel Jaga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0.66666666666666663</v>
      </c>
      <c r="G23" s="38" t="s">
        <v>39</v>
      </c>
      <c r="H23" s="49">
        <v>0</v>
      </c>
      <c r="I23" s="50" t="s">
        <v>65</v>
      </c>
      <c r="K23" s="18" t="s">
        <v>59</v>
      </c>
      <c r="L23" s="41">
        <f>H23-F23+IF(F23&gt;H23,1)</f>
        <v>0.33333333333333337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16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45672</v>
      </c>
      <c r="N32" s="8"/>
      <c r="O32" s="9"/>
      <c r="P32" s="73" t="str">
        <f>T11</f>
        <v>Indra Warman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Indra Warman M093-115315 MOR I SUMBAGUT Integrated Terminal Dumai Bantuan Personel Jaga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0.66666666666666663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8D020C3D-758F-4293-AA8E-076361543818}">
      <formula1>"WIB,WIT,WITA"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B72AB-CC5C-4EF2-8308-F012105575CB}">
  <sheetPr codeName="Sheet7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Indra Warman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M093-115315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11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10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Sabtu, 25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96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Bantuan Personel Jaga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16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Indra Warman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Indra Warman M093-115315 MOR I SUMBAGUT Integrated Terminal Dumai Bantuan Personel Jaga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05BEDF6C-1896-4D73-B351-DA34735C5D24}">
      <formula1>"WIB,WIT,WITA"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AC51C-B663-4BCB-A20B-4128C2F501C9}">
  <sheetPr codeName="Sheet8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Indra Warman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M093-115315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11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10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27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Indra Warman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Indra Warman M093-115315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BF3EA859-5A63-4F31-B5BA-1DB4E8056F73}">
      <formula1>"WIB,WIT,WITA"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B6BD9-FF24-4CCE-86AF-304686B145D6}">
  <sheetPr codeName="Sheet9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Syukurman Zebua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M093-234340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19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18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06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0.33333333333333331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94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Kelebihan jam kerja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</v>
      </c>
      <c r="G23" s="38" t="s">
        <v>39</v>
      </c>
      <c r="H23" s="49">
        <v>0.33333333333333331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20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45660</v>
      </c>
      <c r="N32" s="8"/>
      <c r="O32" s="9"/>
      <c r="P32" s="73" t="str">
        <f>T11</f>
        <v>Syukurman Zebua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Syukurman Zebua M093-234340 MOR I SUMBAGUT Integrated Terminal Dumai Kelebihan jam kerja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0.33333333333333331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D65A7756-8842-4167-8F53-E2526BA6C165}">
      <formula1>"WIB,WIT,WITA"</formula1>
    </dataValidation>
  </dataValidation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FA72-3CD0-400E-98C4-68DE766CA554}">
  <sheetPr codeName="Sheet10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Syukurman Zebua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M093-234340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19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18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27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Syukurman Zebua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Syukurman Zebua M093-234340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44F65B34-3EA2-4F69-9D6E-84557B3364EA}">
      <formula1>"WIB,WIT,WITA"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D6C51-14B9-4E31-A277-723344CB9EEC}">
  <sheetPr codeName="Sheet11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Renal Chandra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M093-115325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22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21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01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98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45657</v>
      </c>
      <c r="N32" s="8"/>
      <c r="O32" s="9"/>
      <c r="P32" s="73" t="str">
        <f>T11</f>
        <v>Renal Chandra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Renal Chandra M093-115325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7359A3EC-2388-4A5B-96D2-3806BBEAE465}">
      <formula1>"WIB,WIT,WITA"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3F83-318E-4DA8-AEDE-BBAA799415BE}">
  <sheetPr codeName="Sheet12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Renal Chandra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M093-115325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22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21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27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0.33333333333333331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Kelebihan Jam Kerja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</v>
      </c>
      <c r="G23" s="38" t="s">
        <v>39</v>
      </c>
      <c r="H23" s="49">
        <v>0.33333333333333331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15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Renal Chandra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Renal Chandra M093-115325 MOR I SUMBAGUT Integrated Terminal Dumai Kelebihan Jam Kerja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0.33333333333333331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194D2D08-290F-4E2D-B21D-2AADA7D25DA6}">
      <formula1>"WIB,WIT,WITA"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2781-11EC-4BDE-9D66-3BBDD01D62DB}">
  <sheetPr codeName="Sheet13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Renal Chandra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M093-115325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22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21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27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0.33333333333333331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</v>
      </c>
      <c r="G23" s="38" t="s">
        <v>39</v>
      </c>
      <c r="H23" s="49">
        <v>0.33333333333333331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Renal Chandra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Renal Chandra M093-115325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0.33333333333333331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C8372C90-D1E9-4FA1-8243-DB971A5E65C4}">
      <formula1>"WIB,WIT,WITA"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3B2D8-94FA-4798-82EC-1324A9F743E0}">
  <sheetPr codeName="Sheet14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Renal Chandra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M093-115325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22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21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29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0.33333333333333331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99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</v>
      </c>
      <c r="G23" s="38" t="s">
        <v>39</v>
      </c>
      <c r="H23" s="49">
        <v>0.33333333333333331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45685</v>
      </c>
      <c r="N32" s="8"/>
      <c r="O32" s="9"/>
      <c r="P32" s="73" t="str">
        <f>T11</f>
        <v>Renal Chandra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Renal Chandra M093-115325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0.33333333333333331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CA08F78F-C2EC-4A45-A5A9-CAAACEFC7BD3}">
      <formula1>"WIB,WIT,WITA"</formula1>
    </dataValidation>
  </dataValidation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E8D47-6E49-4AB2-958B-B05E92DB042D}">
  <sheetPr codeName="Sheet15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Rahmat Fajcly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M093-243689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24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23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01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98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45657</v>
      </c>
      <c r="N32" s="8"/>
      <c r="O32" s="9"/>
      <c r="P32" s="73" t="str">
        <f>T11</f>
        <v>Rahmat Fajcly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Rahmat Fajcly M093-243689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41B0225E-6B83-4F99-9749-3D656F94C080}">
      <formula1>"WIB,WIT,WITA"</formula1>
    </dataValidation>
  </dataValidation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B4BF-E949-4A99-90CE-5826338CC19C}">
  <sheetPr codeName="Sheet16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Rahmat Fajcly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M093-243689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24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23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27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0.33333333333333331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Kelebihan Jam Kerja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</v>
      </c>
      <c r="G23" s="38" t="s">
        <v>39</v>
      </c>
      <c r="H23" s="49">
        <v>0.33333333333333331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15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Rahmat Fajcly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Rahmat Fajcly M093-243689 MOR I SUMBAGUT Integrated Terminal Dumai Kelebihan Jam Kerja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0.33333333333333331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0273211F-0D1A-49FF-B96F-0D291DB0704A}">
      <formula1>"WIB,WIT,WITA"</formula1>
    </dataValidation>
  </dataValidation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C6447-EDDD-4D5B-8B80-8E84C7D71DA8}">
  <sheetPr codeName="Sheet17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Rahmat Fajcly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M093-243689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24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23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27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0.33333333333333331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</v>
      </c>
      <c r="G23" s="38" t="s">
        <v>39</v>
      </c>
      <c r="H23" s="49">
        <v>0.33333333333333331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Rahmat Fajcly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Rahmat Fajcly M093-243689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0.33333333333333331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2DD48CEB-498F-478D-B441-A0ECFA058B2A}">
      <formula1>"WIB,WIT,WITA"</formula1>
    </dataValidation>
  </dataValidation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98F52-1B28-40A0-8683-2848300055AD}">
  <sheetPr codeName="Sheet18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Rahmat Fajcly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M093-243689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24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23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29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0.33333333333333331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99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</v>
      </c>
      <c r="G23" s="38" t="s">
        <v>39</v>
      </c>
      <c r="H23" s="49">
        <v>0.33333333333333331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45685</v>
      </c>
      <c r="N32" s="8"/>
      <c r="O32" s="9"/>
      <c r="P32" s="73" t="str">
        <f>T11</f>
        <v>Rahmat Fajcly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Rahmat Fajcly M093-243689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0.33333333333333331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CF65F30A-A91D-4480-972D-F3775775FABF}">
      <formula1>"WIB,WIT,WITA"</formula1>
    </dataValidation>
  </dataValidation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14647-E801-4E87-B086-59CF762DA51F}">
  <sheetPr codeName="Sheet19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Syabran Jamil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M093-115316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26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25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01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0.33333333333333331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98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</v>
      </c>
      <c r="G23" s="38" t="s">
        <v>39</v>
      </c>
      <c r="H23" s="49">
        <v>0.33333333333333331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45657</v>
      </c>
      <c r="N32" s="8"/>
      <c r="O32" s="9"/>
      <c r="P32" s="73" t="str">
        <f>T11</f>
        <v>Syabran Jamil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Syabran Jamil M093-115316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0.33333333333333331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72788E32-3C15-4FAD-BEC3-8506050DCA1C}">
      <formula1>"WIB,WIT,WITA"</formula1>
    </dataValidation>
  </dataValidation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7EADD-7028-404B-BD55-0CF2048402DC}">
  <sheetPr codeName="Sheet20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Syabran Jamil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M093-115316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26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25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Sabtu, 18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100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Bantuan personil jaga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27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45674</v>
      </c>
      <c r="N32" s="8"/>
      <c r="O32" s="9"/>
      <c r="P32" s="73" t="str">
        <f>T11</f>
        <v>Syabran Jamil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Syabran Jamil M093-115316 MOR I SUMBAGUT Integrated Terminal Dumai Bantuan personil jaga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993B91AB-8F5A-4EF7-A259-A676592B55D9}">
      <formula1>"WIB,WIT,WITA"</formula1>
    </dataValidation>
  </dataValidation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EDF1A-38F0-46D1-93D2-48DBEFC3363A}">
  <sheetPr codeName="Sheet21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Syabran Jamil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M093-115316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26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25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20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101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Kelebihan jam kerja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20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45674</v>
      </c>
      <c r="N32" s="8"/>
      <c r="O32" s="9"/>
      <c r="P32" s="73" t="str">
        <f>T11</f>
        <v>Syabran Jamil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Syabran Jamil M093-115316 MOR I SUMBAGUT Integrated Terminal Dumai Kelebihan jam kerja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BCE4209F-804B-4D09-B909-4D6D31D4F5F4}">
      <formula1>"WIB,WIT,WITA"</formula1>
    </dataValidation>
  </dataValidation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ED414-3E27-45CC-AB3C-E55E7336E2BF}">
  <sheetPr codeName="Sheet22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Syabran Jamil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M093-115316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26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25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29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0.66666666666666663</v>
      </c>
      <c r="U19" s="37" t="str">
        <f>G23</f>
        <v xml:space="preserve"> s/d </v>
      </c>
      <c r="V19" s="38">
        <f>H23</f>
        <v>0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0.33333333333333337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99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0.66666666666666663</v>
      </c>
      <c r="G23" s="38" t="s">
        <v>39</v>
      </c>
      <c r="H23" s="49">
        <v>0</v>
      </c>
      <c r="I23" s="50" t="s">
        <v>65</v>
      </c>
      <c r="K23" s="18" t="s">
        <v>59</v>
      </c>
      <c r="L23" s="41">
        <f>H23-F23+IF(F23&gt;H23,1)</f>
        <v>0.33333333333333337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45685</v>
      </c>
      <c r="N32" s="8"/>
      <c r="O32" s="9"/>
      <c r="P32" s="73" t="str">
        <f>T11</f>
        <v>Syabran Jamil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Syabran Jamil M093-115316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0.66666666666666663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0F5D7426-73F2-45E8-8875-8A4E5988D524}">
      <formula1>"WIB,WIT,WITA"</formula1>
    </dataValidation>
  </dataValidation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48FA-3BF3-455E-8850-B22E4A9501E3}">
  <sheetPr codeName="Sheet23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Dedi Nofianto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M093-115330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29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28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01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</v>
      </c>
      <c r="U19" s="37" t="str">
        <f>G23</f>
        <v xml:space="preserve"> s/d </v>
      </c>
      <c r="V19" s="38">
        <f>H23</f>
        <v>0.33333333333333331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98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</v>
      </c>
      <c r="G23" s="38" t="s">
        <v>39</v>
      </c>
      <c r="H23" s="49">
        <v>0.33333333333333331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45657</v>
      </c>
      <c r="N32" s="8"/>
      <c r="O32" s="9"/>
      <c r="P32" s="73" t="str">
        <f>T11</f>
        <v>Dedi Nofianto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Dedi Nofianto M093-115330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0.33333333333333331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65521C1D-7279-41F7-ABAB-62BF110948E6}">
      <formula1>"WIB,WIT,WITA"</formula1>
    </dataValidation>
  </dataValidation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B8562-38D1-4A4F-ACC1-2A8D2B149381}">
  <sheetPr codeName="Sheet24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Dedi Nofianto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M093-115330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29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28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Minggu, 19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102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45674</v>
      </c>
      <c r="N32" s="8"/>
      <c r="O32" s="9"/>
      <c r="P32" s="73" t="str">
        <f>T11</f>
        <v>Dedi Nofianto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Dedi Nofianto M093-115330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207BF953-A538-4C09-9C78-BC9D8996A443}">
      <formula1>"WIB,WIT,WITA"</formula1>
    </dataValidation>
  </dataValidation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95D4F-1AE0-4B60-820B-720A8C5F6385}">
  <sheetPr codeName="Sheet25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Dedi Nofianto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M093-115330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29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28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20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101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Kelebihan Jam Kerja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15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45674</v>
      </c>
      <c r="N32" s="8"/>
      <c r="O32" s="9"/>
      <c r="P32" s="73" t="str">
        <f>T11</f>
        <v>Dedi Nofianto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Dedi Nofianto M093-115330 MOR I SUMBAGUT Integrated Terminal Dumai Kelebihan Jam Kerja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706B1FA3-148B-4BBB-B4D0-0B523949AB76}">
      <formula1>"WIB,WIT,WITA"</formula1>
    </dataValidation>
  </dataValidation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26722-BC96-4657-853E-151E6BBFEBAB}">
  <sheetPr codeName="Sheet26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Dedi Nofianto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M093-115330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29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28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29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0.66666666666666663</v>
      </c>
      <c r="U19" s="37" t="str">
        <f>G23</f>
        <v xml:space="preserve"> s/d </v>
      </c>
      <c r="V19" s="38">
        <f>H23</f>
        <v>0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0.33333333333333337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99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0.66666666666666663</v>
      </c>
      <c r="G23" s="38" t="s">
        <v>39</v>
      </c>
      <c r="H23" s="49">
        <v>0</v>
      </c>
      <c r="I23" s="50" t="s">
        <v>65</v>
      </c>
      <c r="K23" s="18" t="s">
        <v>59</v>
      </c>
      <c r="L23" s="41">
        <f>H23-F23+IF(F23&gt;H23,1)</f>
        <v>0.33333333333333337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45685</v>
      </c>
      <c r="N32" s="8"/>
      <c r="O32" s="9"/>
      <c r="P32" s="73" t="str">
        <f>T11</f>
        <v>Dedi Nofianto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Dedi Nofianto M093-115330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0.66666666666666663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98491880-1F5C-44B4-AC22-60BB80C05A04}">
      <formula1>"WIB,WIT,WITA"</formula1>
    </dataValidation>
  </dataValidation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BA5B6-FA64-4F6C-8737-C24325B6CA24}">
  <sheetPr codeName="Sheet27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Eko Hari Santosa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M093-115331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01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0.66666666666666663</v>
      </c>
      <c r="U19" s="37" t="str">
        <f>G23</f>
        <v xml:space="preserve"> s/d </v>
      </c>
      <c r="V19" s="38">
        <f>H23</f>
        <v>0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0.33333333333333337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98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0.66666666666666663</v>
      </c>
      <c r="G23" s="38" t="s">
        <v>39</v>
      </c>
      <c r="H23" s="49">
        <v>0</v>
      </c>
      <c r="I23" s="50" t="s">
        <v>65</v>
      </c>
      <c r="K23" s="18" t="s">
        <v>59</v>
      </c>
      <c r="L23" s="41">
        <f>H23-F23+IF(F23&gt;H23,1)</f>
        <v>0.33333333333333337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45657</v>
      </c>
      <c r="N32" s="8"/>
      <c r="O32" s="9"/>
      <c r="P32" s="73" t="str">
        <f>T11</f>
        <v>Eko Hari Santosa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Eko Hari Santosa M093-115331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0.66666666666666663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5BAEB32F-D47D-40AD-AD0A-2C9F6221DCCC}">
      <formula1>"WIB,WIT,WITA"</formula1>
    </dataValidation>
  </dataValidation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7545-F140-49C6-8F05-76BBBC5A998B}">
  <sheetPr codeName="Sheet28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Eko Hari Santosa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M093-115331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13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0.66666666666666663</v>
      </c>
      <c r="U19" s="37" t="str">
        <f>G23</f>
        <v xml:space="preserve"> s/d </v>
      </c>
      <c r="V19" s="38">
        <f>H23</f>
        <v>0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0.33333333333333337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103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Kelebihan jam kerja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0.66666666666666663</v>
      </c>
      <c r="G23" s="38" t="s">
        <v>39</v>
      </c>
      <c r="H23" s="49">
        <v>0</v>
      </c>
      <c r="I23" s="50" t="s">
        <v>65</v>
      </c>
      <c r="K23" s="18" t="s">
        <v>59</v>
      </c>
      <c r="L23" s="41">
        <f>H23-F23+IF(F23&gt;H23,1)</f>
        <v>0.33333333333333337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20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45667</v>
      </c>
      <c r="N32" s="8"/>
      <c r="O32" s="9"/>
      <c r="P32" s="73" t="str">
        <f>T11</f>
        <v>Eko Hari Santosa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Eko Hari Santosa M093-115331 MOR I SUMBAGUT Integrated Terminal Dumai Kelebihan jam kerja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0.66666666666666663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9CEB185A-1AF7-46D9-B0AF-028E8D155D0F}">
      <formula1>"WIB,WIT,WITA"</formula1>
    </dataValidation>
  </dataValidation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D0BED-ADF4-4C6A-BF7F-D92D188E56D6}">
  <sheetPr codeName="Sheet29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Eko Hari Santosa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M093-115331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Minggu, 26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104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Bantuan personil jaga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27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Eko Hari Santosa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Eko Hari Santosa M093-115331 MOR I SUMBAGUT Integrated Terminal Dumai Bantuan personil jaga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A73A76D6-CC5A-4E30-B017-CFF16479DCFC}">
      <formula1>"WIB,WIT,WITA"</formula1>
    </dataValidation>
  </dataValidation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FE1AC-7A14-40D7-BDC3-D3C64F72E682}">
  <sheetPr codeName="Sheet30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Eko Hari Santosa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M093-115331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27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0.66666666666666663</v>
      </c>
      <c r="U19" s="37" t="str">
        <f>G23</f>
        <v xml:space="preserve"> s/d </v>
      </c>
      <c r="V19" s="38">
        <f>H23</f>
        <v>0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0.33333333333333337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0.66666666666666663</v>
      </c>
      <c r="G23" s="38" t="s">
        <v>39</v>
      </c>
      <c r="H23" s="49">
        <v>0</v>
      </c>
      <c r="I23" s="50" t="s">
        <v>65</v>
      </c>
      <c r="K23" s="18" t="s">
        <v>59</v>
      </c>
      <c r="L23" s="41">
        <f>H23-F23+IF(F23&gt;H23,1)</f>
        <v>0.33333333333333337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Eko Hari Santosa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Eko Hari Santosa M093-115331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0.66666666666666663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8258E7D7-F775-4CE8-BC56-7179B0F5BDC3}">
      <formula1>"WIB,WIT,WITA"</formula1>
    </dataValidation>
  </dataValidation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C6346-DEDA-457E-81D0-56BE75B60404}">
  <sheetPr codeName="Sheet31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Eko Hari Santosa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M093-115331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31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30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29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99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45685</v>
      </c>
      <c r="N32" s="8"/>
      <c r="O32" s="9"/>
      <c r="P32" s="73" t="str">
        <f>T11</f>
        <v>Eko Hari Santosa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Eko Hari Santosa M093-115331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A1858401-7D99-4F93-94A8-756437BDB74F}">
      <formula1>"WIB,WIT,WITA"</formula1>
    </dataValidation>
  </dataValidation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43EA-CDF9-446F-B149-5CE2BCDC3832}">
  <sheetPr codeName="Sheet32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Iwan Taruna C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M093-193377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33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32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01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0.66666666666666663</v>
      </c>
      <c r="U19" s="37" t="str">
        <f>G23</f>
        <v xml:space="preserve"> s/d </v>
      </c>
      <c r="V19" s="38">
        <f>H23</f>
        <v>0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0.33333333333333337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98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0.66666666666666663</v>
      </c>
      <c r="G23" s="38" t="s">
        <v>39</v>
      </c>
      <c r="H23" s="49">
        <v>0</v>
      </c>
      <c r="I23" s="50" t="s">
        <v>65</v>
      </c>
      <c r="K23" s="18" t="s">
        <v>59</v>
      </c>
      <c r="L23" s="41">
        <f>H23-F23+IF(F23&gt;H23,1)</f>
        <v>0.33333333333333337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45657</v>
      </c>
      <c r="N32" s="8"/>
      <c r="O32" s="9"/>
      <c r="P32" s="73" t="str">
        <f>T11</f>
        <v>Iwan Taruna C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Iwan Taruna C M093-193377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0.66666666666666663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31C9199B-EA3E-4D69-8BD6-3EDA88D99BF5}">
      <formula1>"WIB,WIT,WITA"</formula1>
    </dataValidation>
  </dataValidation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FC8D4-8ABE-43F7-A212-7E2F9232C303}">
  <sheetPr codeName="Sheet33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Iwan Taruna C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M093-193377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33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32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13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0.66666666666666663</v>
      </c>
      <c r="U19" s="37" t="str">
        <f>G23</f>
        <v xml:space="preserve"> s/d </v>
      </c>
      <c r="V19" s="38">
        <f>H23</f>
        <v>0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0.33333333333333337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103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Kelebihan jam kerja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0.66666666666666663</v>
      </c>
      <c r="G23" s="38" t="s">
        <v>39</v>
      </c>
      <c r="H23" s="49">
        <v>0</v>
      </c>
      <c r="I23" s="50" t="s">
        <v>65</v>
      </c>
      <c r="K23" s="18" t="s">
        <v>59</v>
      </c>
      <c r="L23" s="41">
        <f>H23-F23+IF(F23&gt;H23,1)</f>
        <v>0.33333333333333337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20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45667</v>
      </c>
      <c r="N32" s="8"/>
      <c r="O32" s="9"/>
      <c r="P32" s="73" t="str">
        <f>T11</f>
        <v>Iwan Taruna C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Iwan Taruna C M093-193377 MOR I SUMBAGUT Integrated Terminal Dumai Kelebihan jam kerja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0.66666666666666663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8D7EF2AB-8B9A-46C0-8398-87D306AC7A01}">
      <formula1>"WIB,WIT,WITA"</formula1>
    </dataValidation>
  </dataValidation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FE3D0-EE85-4EEA-BF0F-69E24E6921FD}">
  <sheetPr codeName="Sheet34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Iwan Taruna C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M093-193377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33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32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27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0.66666666666666663</v>
      </c>
      <c r="U19" s="37" t="str">
        <f>G23</f>
        <v xml:space="preserve"> s/d </v>
      </c>
      <c r="V19" s="38">
        <f>H23</f>
        <v>0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0.33333333333333337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0.66666666666666663</v>
      </c>
      <c r="G23" s="38" t="s">
        <v>39</v>
      </c>
      <c r="H23" s="49">
        <v>0</v>
      </c>
      <c r="I23" s="50" t="s">
        <v>65</v>
      </c>
      <c r="K23" s="18" t="s">
        <v>59</v>
      </c>
      <c r="L23" s="41">
        <f>H23-F23+IF(F23&gt;H23,1)</f>
        <v>0.33333333333333337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Iwan Taruna C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Iwan Taruna C M093-193377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0.66666666666666663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493539B2-734C-47EF-A4E0-0D206B96E766}">
      <formula1>"WIB,WIT,WITA"</formula1>
    </dataValidation>
  </dataValidation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73E7F-B860-49F1-B131-CD2A86339F58}">
  <sheetPr codeName="Sheet35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Iwan Taruna C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M093-193377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33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Shift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32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114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29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99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45685</v>
      </c>
      <c r="N32" s="8"/>
      <c r="O32" s="9"/>
      <c r="P32" s="73" t="str">
        <f>T11</f>
        <v>Iwan Taruna C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Iwan Taruna C M093-193377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A1A4B4F8-F3CB-4CCA-B373-40F06E6FD14D}">
      <formula1>"WIB,WIT,WITA"</formula1>
    </dataValidation>
  </dataValidation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DF40-63EA-4F98-A8EE-398468E363B0}">
  <sheetPr codeName="Sheet36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Andi Wijaya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M093-115329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35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Harian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34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56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01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98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45657</v>
      </c>
      <c r="N32" s="8"/>
      <c r="O32" s="9"/>
      <c r="P32" s="73" t="str">
        <f>T11</f>
        <v>Andi Wijaya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Andi Wijaya M093-115329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30EE7472-B84F-4957-B3F1-06E26C0C228B}">
      <formula1>"WIB,WIT,WITA"</formula1>
    </dataValidation>
  </dataValidation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69270-C143-4843-AEED-8A7898C2AFCC}">
  <sheetPr codeName="Sheet37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Andi Wijaya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M093-115329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35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Harian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34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56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Minggu, 05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105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Bantuan personil jaga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27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45660</v>
      </c>
      <c r="N32" s="8"/>
      <c r="O32" s="9"/>
      <c r="P32" s="73" t="str">
        <f>T11</f>
        <v>Andi Wijaya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Andi Wijaya M093-115329 MOR I SUMBAGUT Integrated Terminal Dumai Bantuan personil jaga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7AE4D9E7-3891-45C6-8F6B-78A5F90464E7}">
      <formula1>"WIB,WIT,WITA"</formula1>
    </dataValidation>
  </dataValidation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94B2-9F74-4EFE-A8C3-C1842493CC82}">
  <sheetPr codeName="Sheet38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Andi Wijaya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M093-115329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35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Harian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34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56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Minggu, 12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106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Bantuan personil jaga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27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45667</v>
      </c>
      <c r="N32" s="8"/>
      <c r="O32" s="9"/>
      <c r="P32" s="73" t="str">
        <f>T11</f>
        <v>Andi Wijaya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Andi Wijaya M093-115329 MOR I SUMBAGUT Integrated Terminal Dumai Bantuan personil jaga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DFD42AD6-6F5C-4E8B-9B59-9BB16A62FA2E}">
      <formula1>"WIB,WIT,WITA"</formula1>
    </dataValidation>
  </dataValidation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32E73-3753-45D9-A9A0-A7FA1685B3D5}">
  <sheetPr codeName="Sheet39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Andi Wijaya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M093-115329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35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Harian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34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56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27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Andi Wijaya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Andi Wijaya M093-115329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F29BEC92-9E11-4E28-87AE-AE2D3210EEBF}">
      <formula1>"WIB,WIT,WITA"</formula1>
    </dataValidation>
  </dataValidation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9A0F2-C628-4DA9-911F-6856AAB1AF9F}">
  <sheetPr codeName="Sheet40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Andi Wijaya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M093-115329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35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Harian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34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56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29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99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45685</v>
      </c>
      <c r="N32" s="8"/>
      <c r="O32" s="9"/>
      <c r="P32" s="73" t="str">
        <f>T11</f>
        <v>Andi Wijaya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Andi Wijaya M093-115329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46DC0E72-7413-41DC-A3C8-F8510315421B}">
      <formula1>"WIB,WIT,WITA"</formula1>
    </dataValidation>
  </dataValidation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2EC9C-CC8E-45BF-8CA4-8A9065909E50}">
  <sheetPr codeName="Sheet41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Syahril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M093-213167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38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Harian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37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56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01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98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45657</v>
      </c>
      <c r="N32" s="8"/>
      <c r="O32" s="9"/>
      <c r="P32" s="73" t="str">
        <f>T11</f>
        <v>Syahril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Syahril M093-213167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8EA1DFA4-DA77-431D-988E-93A730052E3A}">
      <formula1>"WIB,WIT,WITA"</formula1>
    </dataValidation>
  </dataValidation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54A7B-334C-4374-8317-047A88FBA9E4}">
  <sheetPr codeName="Sheet42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Syahril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M093-213167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38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Harian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37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56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Sabtu, 04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Bantuan personil jaga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27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45660</v>
      </c>
      <c r="N32" s="8"/>
      <c r="O32" s="9"/>
      <c r="P32" s="73" t="str">
        <f>T11</f>
        <v>Syahril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Syahril M093-213167 MOR I SUMBAGUT Integrated Terminal Dumai Bantuan personil jaga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E997C814-FA30-465F-B247-634409088AD0}">
      <formula1>"WIB,WIT,WITA"</formula1>
    </dataValidation>
  </dataValidation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6447-5970-4AAA-8E43-06E1598D432C}">
  <sheetPr codeName="Sheet43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Syahril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M093-213167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38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Harian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37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56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Sabtu, 11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108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Bantuan personil jaga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27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45667</v>
      </c>
      <c r="N32" s="8"/>
      <c r="O32" s="9"/>
      <c r="P32" s="73" t="str">
        <f>T11</f>
        <v>Syahril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Syahril M093-213167 MOR I SUMBAGUT Integrated Terminal Dumai Bantuan personil jaga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A2D51661-0BCD-41AF-8003-F9DE9166E88C}">
      <formula1>"WIB,WIT,WITA"</formula1>
    </dataValidation>
  </dataValidation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40BCA-5660-4847-805C-EF05F4777CC4}">
  <sheetPr codeName="Sheet44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Syahril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M093-213167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38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Harian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37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56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Senin, 27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97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45681</v>
      </c>
      <c r="N32" s="8"/>
      <c r="O32" s="9"/>
      <c r="P32" s="73" t="str">
        <f>T11</f>
        <v>Syahril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Syahril M093-213167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C6C639DB-1D7B-43D4-B331-7C11873CC561}">
      <formula1>"WIB,WIT,WITA"</formula1>
    </dataValidation>
  </dataValidation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596B2-28FF-4390-A853-432FA2169D1B}">
  <sheetPr codeName="Sheet45"/>
  <dimension ref="B1:AB85"/>
  <sheetViews>
    <sheetView topLeftCell="K22" zoomScale="89" zoomScaleNormal="100" workbookViewId="0">
      <selection activeCell="AA26" sqref="AA26:AB26"/>
    </sheetView>
  </sheetViews>
  <sheetFormatPr defaultColWidth="9.33203125" defaultRowHeight="13.8" x14ac:dyDescent="0.25"/>
  <cols>
    <col min="1" max="1" width="3" style="7" customWidth="1"/>
    <col min="2" max="2" width="14.33203125" style="7" customWidth="1"/>
    <col min="3" max="3" width="1.6640625" style="7" bestFit="1" customWidth="1"/>
    <col min="4" max="4" width="21.44140625" style="7" customWidth="1"/>
    <col min="5" max="5" width="1.6640625" style="7" bestFit="1" customWidth="1"/>
    <col min="6" max="6" width="9.6640625" style="7" customWidth="1"/>
    <col min="7" max="7" width="5.6640625" style="7" customWidth="1"/>
    <col min="8" max="8" width="9.6640625" style="7" customWidth="1"/>
    <col min="9" max="9" width="10.33203125" style="7" customWidth="1"/>
    <col min="10" max="10" width="18.33203125" style="7" bestFit="1" customWidth="1"/>
    <col min="11" max="11" width="9" style="7" customWidth="1"/>
    <col min="12" max="12" width="7.33203125" style="7" customWidth="1"/>
    <col min="13" max="13" width="5.33203125" style="7" bestFit="1" customWidth="1"/>
    <col min="14" max="15" width="5.33203125" style="7" customWidth="1"/>
    <col min="16" max="16" width="10.6640625" style="7" customWidth="1"/>
    <col min="17" max="17" width="6.44140625" style="7" customWidth="1"/>
    <col min="18" max="18" width="17.6640625" style="7" customWidth="1"/>
    <col min="19" max="19" width="1.5546875" style="7" customWidth="1"/>
    <col min="20" max="20" width="9.6640625" style="7" customWidth="1"/>
    <col min="21" max="21" width="5.6640625" style="7" customWidth="1"/>
    <col min="22" max="22" width="9.6640625" style="7" customWidth="1"/>
    <col min="23" max="23" width="8.33203125" style="7" customWidth="1"/>
    <col min="24" max="25" width="9.33203125" style="7"/>
    <col min="26" max="27" width="13.6640625" style="7" customWidth="1"/>
    <col min="28" max="28" width="7.6640625" style="7" customWidth="1"/>
    <col min="29" max="29" width="3" style="7" customWidth="1"/>
    <col min="30" max="16384" width="9.33203125" style="7"/>
  </cols>
  <sheetData>
    <row r="1" spans="2:28" x14ac:dyDescent="0.25">
      <c r="B1" s="6" t="s">
        <v>39</v>
      </c>
      <c r="N1" s="8"/>
      <c r="O1" s="9"/>
    </row>
    <row r="2" spans="2:28" x14ac:dyDescent="0.25">
      <c r="N2" s="8"/>
      <c r="O2" s="9"/>
    </row>
    <row r="3" spans="2:28" x14ac:dyDescent="0.25">
      <c r="N3" s="8"/>
      <c r="O3" s="9"/>
    </row>
    <row r="4" spans="2:28" x14ac:dyDescent="0.25">
      <c r="N4" s="8"/>
      <c r="O4" s="9"/>
    </row>
    <row r="5" spans="2:28" ht="21" x14ac:dyDescent="0.4">
      <c r="B5" s="10" t="s">
        <v>40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2"/>
      <c r="N5" s="8"/>
      <c r="O5" s="9"/>
      <c r="P5" s="13" t="s">
        <v>41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</row>
    <row r="6" spans="2:28" ht="21" x14ac:dyDescent="0.4">
      <c r="B6" s="14" t="s">
        <v>42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6"/>
      <c r="N6" s="8"/>
      <c r="O6" s="9"/>
      <c r="P6" s="13" t="s">
        <v>43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</row>
    <row r="7" spans="2:28" x14ac:dyDescent="0.25">
      <c r="N7" s="8"/>
      <c r="O7" s="9"/>
    </row>
    <row r="8" spans="2:28" ht="15" x14ac:dyDescent="0.25">
      <c r="N8" s="8"/>
      <c r="O8" s="9"/>
      <c r="Q8" s="17"/>
      <c r="R8" s="17"/>
      <c r="S8" s="17"/>
      <c r="T8" s="17"/>
      <c r="W8" s="17"/>
      <c r="X8" s="17"/>
      <c r="Y8" s="17"/>
      <c r="Z8" s="17"/>
    </row>
    <row r="9" spans="2:28" ht="25.05" customHeight="1" x14ac:dyDescent="0.25">
      <c r="B9" s="18" t="s">
        <v>44</v>
      </c>
      <c r="C9" s="19" t="s">
        <v>45</v>
      </c>
      <c r="D9" s="18" t="s">
        <v>46</v>
      </c>
      <c r="E9" s="17"/>
      <c r="F9" s="17"/>
      <c r="G9" s="17"/>
      <c r="H9" s="17"/>
      <c r="I9" s="17"/>
      <c r="K9" s="17"/>
      <c r="N9" s="8"/>
      <c r="O9" s="9"/>
      <c r="P9" s="18" t="s">
        <v>47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2:28" ht="25.05" customHeight="1" x14ac:dyDescent="0.25">
      <c r="B10" s="17"/>
      <c r="C10" s="17"/>
      <c r="D10" s="18" t="s">
        <v>48</v>
      </c>
      <c r="E10" s="17"/>
      <c r="F10" s="17"/>
      <c r="G10" s="17"/>
      <c r="H10" s="17"/>
      <c r="I10" s="17"/>
      <c r="K10" s="17"/>
      <c r="N10" s="8"/>
      <c r="O10" s="9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2:28" ht="25.05" customHeight="1" x14ac:dyDescent="0.25">
      <c r="B11" s="17"/>
      <c r="C11" s="17"/>
      <c r="D11" s="17"/>
      <c r="E11" s="17"/>
      <c r="F11" s="17"/>
      <c r="G11" s="17"/>
      <c r="H11" s="17"/>
      <c r="I11" s="17"/>
      <c r="K11" s="17"/>
      <c r="N11" s="8"/>
      <c r="O11" s="9"/>
      <c r="P11" s="18" t="s">
        <v>49</v>
      </c>
      <c r="Q11" s="17"/>
      <c r="R11" s="17"/>
      <c r="S11" s="19" t="s">
        <v>45</v>
      </c>
      <c r="T11" s="20" t="str">
        <f>F14</f>
        <v>Syahril</v>
      </c>
      <c r="U11" s="21"/>
      <c r="V11" s="21"/>
      <c r="W11" s="21"/>
      <c r="X11" s="22"/>
      <c r="Y11" s="17"/>
      <c r="Z11" s="17"/>
    </row>
    <row r="12" spans="2:28" ht="25.05" customHeight="1" x14ac:dyDescent="0.25">
      <c r="B12" s="18" t="s">
        <v>50</v>
      </c>
      <c r="C12" s="17"/>
      <c r="D12" s="17"/>
      <c r="E12" s="17"/>
      <c r="F12" s="17"/>
      <c r="G12" s="17"/>
      <c r="H12" s="17"/>
      <c r="I12" s="17"/>
      <c r="K12" s="17"/>
      <c r="N12" s="8"/>
      <c r="O12" s="9"/>
      <c r="P12" s="18" t="s">
        <v>51</v>
      </c>
      <c r="Q12" s="17"/>
      <c r="R12" s="17"/>
      <c r="S12" s="19" t="s">
        <v>45</v>
      </c>
      <c r="T12" s="23" t="str">
        <f>F15</f>
        <v>M093-213167</v>
      </c>
      <c r="U12" s="24"/>
      <c r="V12" s="24"/>
      <c r="W12" s="24"/>
      <c r="X12" s="25"/>
      <c r="Y12" s="17"/>
      <c r="Z12" s="17"/>
    </row>
    <row r="13" spans="2:28" ht="25.05" customHeight="1" x14ac:dyDescent="0.25">
      <c r="B13" s="17"/>
      <c r="C13" s="17"/>
      <c r="D13" s="17"/>
      <c r="E13" s="17"/>
      <c r="F13" s="17"/>
      <c r="G13" s="17"/>
      <c r="H13" s="17"/>
      <c r="I13" s="17"/>
      <c r="K13" s="17"/>
      <c r="N13" s="8"/>
      <c r="O13" s="9"/>
      <c r="P13" s="18" t="s">
        <v>52</v>
      </c>
      <c r="Q13" s="17"/>
      <c r="R13" s="17"/>
      <c r="S13" s="19" t="s">
        <v>45</v>
      </c>
      <c r="T13" s="23" t="str">
        <f>F16</f>
        <v>MOR I SUMBAGUT</v>
      </c>
      <c r="U13" s="24"/>
      <c r="V13" s="24"/>
      <c r="W13" s="24"/>
      <c r="X13" s="25"/>
      <c r="Y13" s="17"/>
      <c r="Z13" s="17"/>
    </row>
    <row r="14" spans="2:28" ht="25.05" customHeight="1" x14ac:dyDescent="0.25">
      <c r="B14" s="18" t="s">
        <v>49</v>
      </c>
      <c r="C14" s="17"/>
      <c r="D14" s="17"/>
      <c r="E14" s="19" t="s">
        <v>45</v>
      </c>
      <c r="F14" s="26" t="s">
        <v>38</v>
      </c>
      <c r="G14" s="27"/>
      <c r="H14" s="27"/>
      <c r="I14" s="27"/>
      <c r="J14" s="27"/>
      <c r="K14" s="27"/>
      <c r="L14" s="27"/>
      <c r="M14" s="28"/>
      <c r="N14" s="8"/>
      <c r="O14" s="9"/>
      <c r="P14" s="18" t="s">
        <v>53</v>
      </c>
      <c r="Q14" s="17"/>
      <c r="R14" s="17"/>
      <c r="S14" s="19" t="s">
        <v>45</v>
      </c>
      <c r="T14" s="23" t="str">
        <f>F17</f>
        <v>Security Harian</v>
      </c>
      <c r="U14" s="24"/>
      <c r="V14" s="24"/>
      <c r="W14" s="24"/>
      <c r="X14" s="25"/>
      <c r="Y14" s="17"/>
      <c r="Z14" s="17"/>
    </row>
    <row r="15" spans="2:28" ht="25.05" customHeight="1" x14ac:dyDescent="0.25">
      <c r="B15" s="18" t="s">
        <v>51</v>
      </c>
      <c r="C15" s="17"/>
      <c r="D15" s="17"/>
      <c r="E15" s="19" t="s">
        <v>45</v>
      </c>
      <c r="F15" s="29" t="s">
        <v>37</v>
      </c>
      <c r="G15" s="30"/>
      <c r="H15" s="30"/>
      <c r="I15" s="30"/>
      <c r="J15" s="30"/>
      <c r="K15" s="30"/>
      <c r="L15" s="30"/>
      <c r="M15" s="31"/>
      <c r="N15" s="8"/>
      <c r="O15" s="9"/>
      <c r="P15" s="18"/>
      <c r="Q15" s="17"/>
      <c r="R15" s="17"/>
      <c r="S15" s="17"/>
      <c r="T15" s="32"/>
      <c r="U15" s="32"/>
      <c r="V15" s="32"/>
      <c r="W15" s="32"/>
      <c r="X15" s="32"/>
      <c r="Y15" s="17"/>
      <c r="Z15" s="17"/>
    </row>
    <row r="16" spans="2:28" ht="25.05" customHeight="1" x14ac:dyDescent="0.25">
      <c r="B16" s="18" t="s">
        <v>52</v>
      </c>
      <c r="C16" s="17"/>
      <c r="D16" s="17"/>
      <c r="E16" s="19" t="s">
        <v>45</v>
      </c>
      <c r="F16" s="29" t="s">
        <v>54</v>
      </c>
      <c r="G16" s="30"/>
      <c r="H16" s="30"/>
      <c r="I16" s="30"/>
      <c r="J16" s="30"/>
      <c r="K16" s="30"/>
      <c r="L16" s="30"/>
      <c r="M16" s="31"/>
      <c r="N16" s="8"/>
      <c r="O16" s="9"/>
      <c r="P16" s="18" t="s">
        <v>55</v>
      </c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2:28" ht="25.05" customHeight="1" x14ac:dyDescent="0.25">
      <c r="B17" s="18" t="s">
        <v>53</v>
      </c>
      <c r="C17" s="17"/>
      <c r="D17" s="17"/>
      <c r="E17" s="19" t="s">
        <v>45</v>
      </c>
      <c r="F17" s="29" t="s">
        <v>56</v>
      </c>
      <c r="G17" s="30"/>
      <c r="H17" s="30"/>
      <c r="I17" s="30"/>
      <c r="J17" s="30"/>
      <c r="K17" s="30"/>
      <c r="L17" s="30"/>
      <c r="M17" s="31"/>
      <c r="N17" s="8"/>
      <c r="O17" s="9"/>
      <c r="P17" s="18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2:28" ht="25.05" customHeight="1" x14ac:dyDescent="0.25">
      <c r="B18" s="18"/>
      <c r="C18" s="17"/>
      <c r="D18" s="17"/>
      <c r="E18" s="33"/>
      <c r="F18" s="32"/>
      <c r="G18" s="32"/>
      <c r="H18" s="32"/>
      <c r="I18" s="32"/>
      <c r="J18" s="34"/>
      <c r="K18" s="32"/>
      <c r="L18" s="34"/>
      <c r="M18" s="34"/>
      <c r="N18" s="8"/>
      <c r="O18" s="9"/>
      <c r="P18" s="18" t="s">
        <v>57</v>
      </c>
      <c r="Q18" s="17"/>
      <c r="R18" s="17"/>
      <c r="S18" s="19" t="s">
        <v>45</v>
      </c>
      <c r="T18" s="35" t="str">
        <f>F22</f>
        <v>Rabu, 29 Januari 2025</v>
      </c>
      <c r="U18" s="21"/>
      <c r="V18" s="21"/>
      <c r="W18" s="21"/>
      <c r="X18" s="22"/>
      <c r="Y18" s="17"/>
      <c r="Z18" s="17"/>
    </row>
    <row r="19" spans="2:28" ht="25.05" customHeight="1" x14ac:dyDescent="0.25">
      <c r="B19" s="18"/>
      <c r="C19" s="17"/>
      <c r="D19" s="17"/>
      <c r="E19" s="17"/>
      <c r="F19" s="17"/>
      <c r="G19" s="17"/>
      <c r="H19" s="17"/>
      <c r="I19" s="17"/>
      <c r="K19" s="17"/>
      <c r="N19" s="8"/>
      <c r="O19" s="9"/>
      <c r="P19" s="18" t="s">
        <v>58</v>
      </c>
      <c r="Q19" s="17"/>
      <c r="R19" s="17"/>
      <c r="S19" s="19" t="s">
        <v>45</v>
      </c>
      <c r="T19" s="36">
        <f>F23</f>
        <v>0.33333333333333331</v>
      </c>
      <c r="U19" s="37" t="str">
        <f>G23</f>
        <v xml:space="preserve"> s/d </v>
      </c>
      <c r="V19" s="38">
        <f>H23</f>
        <v>0.66666666666666663</v>
      </c>
      <c r="W19" s="37" t="str">
        <f>I23</f>
        <v>WIB</v>
      </c>
      <c r="X19" s="39"/>
      <c r="Y19" s="17"/>
      <c r="Z19" s="40" t="s">
        <v>59</v>
      </c>
      <c r="AA19" s="41">
        <f>L23</f>
        <v>0.33333333333333331</v>
      </c>
      <c r="AB19" s="19" t="s">
        <v>60</v>
      </c>
    </row>
    <row r="20" spans="2:28" ht="25.05" customHeight="1" x14ac:dyDescent="0.25">
      <c r="B20" s="18" t="s">
        <v>55</v>
      </c>
      <c r="C20" s="17"/>
      <c r="D20" s="17"/>
      <c r="E20" s="17"/>
      <c r="F20" s="17"/>
      <c r="G20" s="17"/>
      <c r="H20" s="17"/>
      <c r="I20" s="17"/>
      <c r="K20" s="17"/>
      <c r="N20" s="8"/>
      <c r="O20" s="9"/>
      <c r="P20" s="18" t="s">
        <v>61</v>
      </c>
      <c r="Q20" s="17"/>
      <c r="R20" s="17"/>
      <c r="S20" s="19" t="s">
        <v>45</v>
      </c>
      <c r="T20" s="23" t="str">
        <f>F24</f>
        <v>Integrated Terminal Dumai</v>
      </c>
      <c r="U20" s="24"/>
      <c r="V20" s="24"/>
      <c r="W20" s="24"/>
      <c r="X20" s="25"/>
      <c r="Y20" s="17"/>
      <c r="Z20" s="17"/>
      <c r="AA20" s="34"/>
    </row>
    <row r="21" spans="2:28" ht="25.05" customHeight="1" x14ac:dyDescent="0.25">
      <c r="B21" s="18"/>
      <c r="C21" s="17"/>
      <c r="D21" s="17"/>
      <c r="E21" s="17"/>
      <c r="F21" s="17"/>
      <c r="G21" s="17"/>
      <c r="H21" s="17"/>
      <c r="I21" s="17"/>
      <c r="K21" s="17"/>
      <c r="N21" s="8"/>
      <c r="O21" s="9"/>
      <c r="P21" s="18" t="s">
        <v>62</v>
      </c>
      <c r="Q21" s="17"/>
      <c r="R21" s="17"/>
      <c r="S21" s="19" t="s">
        <v>45</v>
      </c>
      <c r="T21" s="23" t="str">
        <f>F25</f>
        <v>Perusahaan</v>
      </c>
      <c r="U21" s="24"/>
      <c r="V21" s="24"/>
      <c r="W21" s="24"/>
      <c r="X21" s="25"/>
      <c r="Y21" s="17"/>
      <c r="Z21" s="17"/>
    </row>
    <row r="22" spans="2:28" ht="25.05" customHeight="1" x14ac:dyDescent="0.25">
      <c r="B22" s="18" t="s">
        <v>57</v>
      </c>
      <c r="C22" s="17"/>
      <c r="D22" s="17"/>
      <c r="E22" s="19" t="s">
        <v>45</v>
      </c>
      <c r="F22" s="42" t="s">
        <v>99</v>
      </c>
      <c r="G22" s="43"/>
      <c r="H22" s="43"/>
      <c r="I22" s="44"/>
      <c r="K22" s="17"/>
      <c r="N22" s="8"/>
      <c r="O22" s="9"/>
      <c r="P22" s="18" t="s">
        <v>63</v>
      </c>
      <c r="Q22" s="17"/>
      <c r="R22" s="17"/>
      <c r="S22" s="19" t="s">
        <v>45</v>
      </c>
      <c r="T22" s="45" t="str">
        <f>F26</f>
        <v>Bekerja Pada Hari Libur Resmi</v>
      </c>
      <c r="U22" s="46"/>
      <c r="V22" s="46"/>
      <c r="W22" s="46"/>
      <c r="X22" s="46"/>
      <c r="Y22" s="46"/>
      <c r="Z22" s="46"/>
      <c r="AA22" s="46"/>
      <c r="AB22" s="47"/>
    </row>
    <row r="23" spans="2:28" ht="25.05" customHeight="1" x14ac:dyDescent="0.25">
      <c r="B23" s="18" t="s">
        <v>64</v>
      </c>
      <c r="C23" s="17"/>
      <c r="D23" s="17"/>
      <c r="E23" s="19" t="s">
        <v>45</v>
      </c>
      <c r="F23" s="48">
        <v>0.33333333333333331</v>
      </c>
      <c r="G23" s="38" t="s">
        <v>39</v>
      </c>
      <c r="H23" s="49">
        <v>0.66666666666666663</v>
      </c>
      <c r="I23" s="50" t="s">
        <v>65</v>
      </c>
      <c r="K23" s="18" t="s">
        <v>59</v>
      </c>
      <c r="L23" s="41">
        <f>H23-F23+IF(F23&gt;H23,1)</f>
        <v>0.33333333333333331</v>
      </c>
      <c r="M23" s="19" t="s">
        <v>60</v>
      </c>
      <c r="N23" s="8"/>
      <c r="O23" s="9"/>
      <c r="P23" s="18"/>
      <c r="Q23" s="17"/>
      <c r="R23" s="17"/>
      <c r="S23" s="17"/>
      <c r="T23" s="45"/>
      <c r="U23" s="46"/>
      <c r="V23" s="46"/>
      <c r="W23" s="46"/>
      <c r="X23" s="46"/>
      <c r="Y23" s="46"/>
      <c r="Z23" s="46"/>
      <c r="AA23" s="46"/>
      <c r="AB23" s="47"/>
    </row>
    <row r="24" spans="2:28" ht="25.05" customHeight="1" x14ac:dyDescent="0.25">
      <c r="B24" s="18" t="s">
        <v>61</v>
      </c>
      <c r="C24" s="17"/>
      <c r="D24" s="17"/>
      <c r="E24" s="19" t="s">
        <v>45</v>
      </c>
      <c r="F24" s="29" t="s">
        <v>66</v>
      </c>
      <c r="G24" s="30"/>
      <c r="H24" s="30"/>
      <c r="I24" s="31"/>
      <c r="K24" s="17"/>
      <c r="L24" s="34"/>
      <c r="N24" s="8"/>
      <c r="O24" s="9"/>
      <c r="P24" s="18"/>
      <c r="Q24" s="17"/>
      <c r="R24" s="17"/>
      <c r="S24" s="17"/>
      <c r="T24" s="51"/>
      <c r="U24" s="52"/>
      <c r="V24" s="52"/>
      <c r="W24" s="52"/>
      <c r="X24" s="52"/>
      <c r="Y24" s="52"/>
      <c r="Z24" s="52"/>
      <c r="AA24" s="52"/>
      <c r="AB24" s="53"/>
    </row>
    <row r="25" spans="2:28" ht="25.05" customHeight="1" x14ac:dyDescent="0.25">
      <c r="B25" s="18" t="s">
        <v>62</v>
      </c>
      <c r="C25" s="17"/>
      <c r="D25" s="17"/>
      <c r="E25" s="19" t="s">
        <v>45</v>
      </c>
      <c r="F25" s="54" t="s">
        <v>67</v>
      </c>
      <c r="G25" s="55"/>
      <c r="H25" s="55"/>
      <c r="I25" s="56"/>
      <c r="J25" s="57"/>
      <c r="K25" s="58"/>
      <c r="L25" s="57"/>
      <c r="M25" s="57"/>
      <c r="N25" s="8"/>
      <c r="O25" s="9"/>
      <c r="P25" s="18"/>
      <c r="Q25" s="17"/>
      <c r="R25" s="17"/>
      <c r="S25" s="17"/>
      <c r="T25" s="32"/>
      <c r="U25" s="32"/>
      <c r="V25" s="32"/>
      <c r="W25" s="32"/>
      <c r="X25" s="32"/>
      <c r="Y25" s="32"/>
      <c r="Z25" s="32"/>
      <c r="AA25" s="34"/>
      <c r="AB25" s="34"/>
    </row>
    <row r="26" spans="2:28" ht="25.05" customHeight="1" x14ac:dyDescent="0.25">
      <c r="B26" s="18" t="s">
        <v>63</v>
      </c>
      <c r="C26" s="17"/>
      <c r="D26" s="17"/>
      <c r="E26" s="59" t="s">
        <v>45</v>
      </c>
      <c r="F26" s="101" t="s">
        <v>17</v>
      </c>
      <c r="G26" s="102"/>
      <c r="H26" s="102"/>
      <c r="I26" s="102"/>
      <c r="J26" s="102"/>
      <c r="K26" s="102"/>
      <c r="L26" s="102"/>
      <c r="M26" s="103"/>
      <c r="N26" s="60"/>
      <c r="O26" s="9"/>
      <c r="P26" s="18"/>
      <c r="Q26" s="17"/>
      <c r="R26" s="17"/>
      <c r="S26" s="17"/>
      <c r="T26" s="17"/>
      <c r="U26" s="17"/>
      <c r="V26" s="17"/>
      <c r="W26" s="17"/>
      <c r="X26" s="17"/>
      <c r="Y26" s="17"/>
      <c r="Z26" s="61" t="str">
        <f>I32</f>
        <v>Dumai,</v>
      </c>
      <c r="AA26" s="62">
        <v>45688</v>
      </c>
      <c r="AB26" s="63"/>
    </row>
    <row r="27" spans="2:28" ht="25.05" customHeight="1" x14ac:dyDescent="0.25">
      <c r="B27" s="17"/>
      <c r="C27" s="17"/>
      <c r="D27" s="17"/>
      <c r="E27" s="64"/>
      <c r="F27" s="104"/>
      <c r="G27" s="105"/>
      <c r="H27" s="105"/>
      <c r="I27" s="105"/>
      <c r="J27" s="105"/>
      <c r="K27" s="105"/>
      <c r="L27" s="105"/>
      <c r="M27" s="106"/>
      <c r="N27" s="60"/>
      <c r="O27" s="9"/>
      <c r="P27" s="18" t="s">
        <v>68</v>
      </c>
      <c r="Q27" s="17"/>
      <c r="R27" s="17"/>
      <c r="S27" s="17"/>
      <c r="T27" s="17"/>
      <c r="U27" s="32"/>
      <c r="V27" s="32"/>
      <c r="W27" s="17"/>
      <c r="X27" s="17"/>
      <c r="Y27" s="17"/>
      <c r="Z27" s="18" t="s">
        <v>69</v>
      </c>
    </row>
    <row r="28" spans="2:28" ht="25.05" customHeight="1" x14ac:dyDescent="0.25">
      <c r="B28" s="17"/>
      <c r="C28" s="17"/>
      <c r="D28" s="17"/>
      <c r="E28" s="64"/>
      <c r="F28" s="104"/>
      <c r="G28" s="105"/>
      <c r="H28" s="105"/>
      <c r="I28" s="105"/>
      <c r="J28" s="105"/>
      <c r="K28" s="105"/>
      <c r="L28" s="105"/>
      <c r="M28" s="106"/>
      <c r="N28" s="60"/>
      <c r="O28" s="9"/>
      <c r="P28" s="33"/>
      <c r="Q28" s="17"/>
      <c r="R28" s="17"/>
      <c r="S28" s="17"/>
      <c r="T28" s="17"/>
      <c r="U28" s="17"/>
      <c r="V28" s="17"/>
      <c r="W28" s="17"/>
      <c r="X28" s="17"/>
      <c r="Y28" s="17"/>
      <c r="Z28" s="18" t="s">
        <v>46</v>
      </c>
    </row>
    <row r="29" spans="2:28" ht="25.05" customHeight="1" x14ac:dyDescent="0.25">
      <c r="B29" s="17"/>
      <c r="C29" s="17"/>
      <c r="D29" s="17"/>
      <c r="E29" s="64"/>
      <c r="F29" s="104"/>
      <c r="G29" s="105"/>
      <c r="H29" s="105"/>
      <c r="I29" s="105"/>
      <c r="J29" s="105"/>
      <c r="K29" s="105"/>
      <c r="L29" s="105"/>
      <c r="M29" s="106"/>
      <c r="N29" s="60"/>
      <c r="O29" s="9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65"/>
      <c r="AA29" s="66"/>
    </row>
    <row r="30" spans="2:28" ht="25.05" customHeight="1" x14ac:dyDescent="0.25">
      <c r="B30" s="17"/>
      <c r="C30" s="17"/>
      <c r="D30" s="17"/>
      <c r="E30" s="64"/>
      <c r="F30" s="107"/>
      <c r="G30" s="108"/>
      <c r="H30" s="108"/>
      <c r="I30" s="108"/>
      <c r="J30" s="108"/>
      <c r="K30" s="108"/>
      <c r="L30" s="108"/>
      <c r="M30" s="109"/>
      <c r="N30" s="60"/>
      <c r="O30" s="9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67"/>
      <c r="AA30" s="68"/>
    </row>
    <row r="31" spans="2:28" ht="25.05" customHeight="1" x14ac:dyDescent="0.25">
      <c r="B31" s="17"/>
      <c r="C31" s="17"/>
      <c r="D31" s="17"/>
      <c r="E31" s="17"/>
      <c r="F31" s="32"/>
      <c r="G31" s="32"/>
      <c r="H31" s="32"/>
      <c r="I31" s="34"/>
      <c r="J31" s="34"/>
      <c r="K31" s="34"/>
      <c r="L31" s="34"/>
      <c r="M31" s="34"/>
      <c r="N31" s="8"/>
      <c r="O31" s="9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69"/>
      <c r="AA31" s="70"/>
    </row>
    <row r="32" spans="2:28" ht="25.05" customHeight="1" x14ac:dyDescent="0.25">
      <c r="B32" s="18" t="s">
        <v>70</v>
      </c>
      <c r="C32" s="17"/>
      <c r="D32" s="17"/>
      <c r="E32" s="17"/>
      <c r="F32" s="17"/>
      <c r="G32" s="17"/>
      <c r="H32" s="17"/>
      <c r="I32" s="71" t="s">
        <v>71</v>
      </c>
      <c r="J32" s="72">
        <v>45685</v>
      </c>
      <c r="N32" s="8"/>
      <c r="O32" s="9"/>
      <c r="P32" s="73" t="str">
        <f>T11</f>
        <v>Syahril</v>
      </c>
      <c r="Q32" s="74"/>
      <c r="R32" s="75"/>
      <c r="S32" s="17"/>
      <c r="U32" s="17"/>
      <c r="V32" s="17"/>
      <c r="W32" s="17"/>
      <c r="X32" s="17"/>
      <c r="Y32" s="17"/>
      <c r="Z32" s="73" t="s">
        <v>72</v>
      </c>
      <c r="AA32" s="74"/>
      <c r="AB32" s="75"/>
    </row>
    <row r="33" spans="2:28" ht="25.05" customHeight="1" x14ac:dyDescent="0.25">
      <c r="B33" s="97" t="s">
        <v>111</v>
      </c>
      <c r="C33" s="17"/>
      <c r="D33" s="17"/>
      <c r="E33" s="17"/>
      <c r="F33" s="17"/>
      <c r="G33" s="17"/>
      <c r="H33" s="17"/>
      <c r="I33" s="71" t="s">
        <v>112</v>
      </c>
      <c r="N33" s="8"/>
      <c r="O33" s="76"/>
      <c r="P33" s="77" t="str">
        <f>T11&amp;" "&amp;T12&amp;" "&amp;T13&amp;" "&amp;T20&amp;" "&amp;T22</f>
        <v>Syahril M093-213167 MOR I SUMBAGUT Integrated Terminal Dumai Bekerja Pada Hari Libur Resmi</v>
      </c>
      <c r="Q33" s="34"/>
      <c r="R33" s="34"/>
      <c r="U33" s="17"/>
      <c r="V33" s="17"/>
      <c r="Z33" s="34"/>
      <c r="AA33" s="34"/>
      <c r="AB33" s="34"/>
    </row>
    <row r="34" spans="2:28" ht="15" x14ac:dyDescent="0.25">
      <c r="B34" s="17"/>
      <c r="C34" s="17"/>
      <c r="D34" s="17"/>
      <c r="E34" s="17"/>
      <c r="F34" s="17"/>
      <c r="G34" s="17"/>
      <c r="H34" s="17"/>
      <c r="I34" s="17"/>
      <c r="N34" s="8"/>
      <c r="O34" s="9"/>
      <c r="U34" s="17"/>
      <c r="V34" s="17"/>
    </row>
    <row r="35" spans="2:28" ht="24.75" customHeight="1" x14ac:dyDescent="0.25">
      <c r="B35" s="17"/>
      <c r="C35" s="17"/>
      <c r="D35" s="17"/>
      <c r="E35" s="17"/>
      <c r="F35" s="17"/>
      <c r="G35" s="17"/>
      <c r="H35" s="17"/>
      <c r="I35" s="17"/>
      <c r="N35" s="8"/>
      <c r="O35" s="78"/>
      <c r="P35" s="79" t="s">
        <v>73</v>
      </c>
      <c r="Q35" s="58"/>
      <c r="R35" s="58"/>
      <c r="S35" s="58"/>
      <c r="T35" s="58"/>
      <c r="U35" s="58"/>
      <c r="V35" s="58"/>
      <c r="W35" s="17"/>
      <c r="X35" s="79" t="s">
        <v>74</v>
      </c>
      <c r="Y35" s="58"/>
      <c r="Z35" s="58"/>
      <c r="AA35" s="58"/>
      <c r="AB35" s="58"/>
    </row>
    <row r="36" spans="2:28" ht="26.25" customHeight="1" x14ac:dyDescent="0.25">
      <c r="B36" s="17"/>
      <c r="C36" s="17"/>
      <c r="D36" s="17"/>
      <c r="E36" s="17"/>
      <c r="F36" s="17"/>
      <c r="G36" s="17"/>
      <c r="H36" s="17"/>
      <c r="I36" s="17"/>
      <c r="N36" s="8"/>
      <c r="O36" s="80"/>
      <c r="P36" s="81" t="s">
        <v>75</v>
      </c>
      <c r="Q36" s="81"/>
      <c r="R36" s="82" t="s">
        <v>76</v>
      </c>
      <c r="S36" s="83"/>
      <c r="T36" s="81" t="s">
        <v>77</v>
      </c>
      <c r="U36" s="81"/>
      <c r="V36" s="81"/>
      <c r="W36" s="84"/>
      <c r="X36" s="85" t="s">
        <v>75</v>
      </c>
      <c r="Y36" s="85"/>
      <c r="Z36" s="86" t="s">
        <v>76</v>
      </c>
      <c r="AA36" s="85" t="s">
        <v>77</v>
      </c>
      <c r="AB36" s="85"/>
    </row>
    <row r="37" spans="2:28" ht="43.5" customHeight="1" x14ac:dyDescent="0.25">
      <c r="B37" s="17"/>
      <c r="C37" s="17"/>
      <c r="D37" s="17"/>
      <c r="E37" s="17"/>
      <c r="F37" s="17"/>
      <c r="G37" s="17"/>
      <c r="H37" s="17"/>
      <c r="I37" s="17"/>
      <c r="N37" s="8"/>
      <c r="O37" s="80"/>
      <c r="P37" s="87" t="s">
        <v>6</v>
      </c>
      <c r="Q37" s="87"/>
      <c r="R37" s="88">
        <f>F23</f>
        <v>0.33333333333333331</v>
      </c>
      <c r="S37" s="89"/>
      <c r="T37" s="90"/>
      <c r="U37" s="90"/>
      <c r="V37" s="90"/>
      <c r="W37" s="84"/>
      <c r="X37" s="87" t="s">
        <v>6</v>
      </c>
      <c r="Y37" s="87"/>
      <c r="Z37" s="91"/>
      <c r="AA37" s="90"/>
      <c r="AB37" s="90"/>
    </row>
    <row r="38" spans="2:28" ht="47.25" customHeight="1" x14ac:dyDescent="0.25">
      <c r="B38" s="92" t="s">
        <v>110</v>
      </c>
      <c r="C38" s="93"/>
      <c r="D38" s="93"/>
      <c r="E38" s="93"/>
      <c r="F38" s="94"/>
      <c r="G38" s="17"/>
      <c r="H38" s="17"/>
      <c r="I38" s="26" t="s">
        <v>109</v>
      </c>
      <c r="J38" s="27"/>
      <c r="K38" s="27"/>
      <c r="L38" s="27"/>
      <c r="M38" s="28"/>
      <c r="N38" s="8"/>
      <c r="O38" s="80"/>
      <c r="P38" s="87" t="s">
        <v>7</v>
      </c>
      <c r="Q38" s="87"/>
      <c r="R38" s="88">
        <f>H23</f>
        <v>0.66666666666666663</v>
      </c>
      <c r="S38" s="89"/>
      <c r="T38" s="90"/>
      <c r="U38" s="90"/>
      <c r="V38" s="90"/>
      <c r="W38" s="84"/>
      <c r="X38" s="87" t="s">
        <v>7</v>
      </c>
      <c r="Y38" s="87"/>
      <c r="Z38" s="91"/>
      <c r="AA38" s="90"/>
      <c r="AB38" s="90"/>
    </row>
    <row r="39" spans="2:28" x14ac:dyDescent="0.25">
      <c r="B39" s="34"/>
      <c r="C39" s="34"/>
      <c r="D39" s="34"/>
      <c r="E39" s="34"/>
      <c r="F39" s="34"/>
      <c r="I39" s="34"/>
      <c r="J39" s="34"/>
      <c r="K39" s="34"/>
      <c r="L39" s="34"/>
      <c r="M39" s="34"/>
      <c r="O39" s="34"/>
      <c r="P39" s="34"/>
      <c r="Q39" s="34"/>
      <c r="R39" s="34"/>
      <c r="S39" s="34"/>
      <c r="T39" s="34"/>
      <c r="U39" s="34"/>
      <c r="V39" s="34"/>
      <c r="X39" s="34" t="s">
        <v>78</v>
      </c>
      <c r="Y39" s="34"/>
      <c r="Z39" s="34"/>
      <c r="AA39" s="34"/>
      <c r="AB39" s="34"/>
    </row>
    <row r="84" s="7" customFormat="1" ht="30" customHeight="1" x14ac:dyDescent="0.25"/>
    <row r="85" s="7" customFormat="1" ht="30" customHeight="1" x14ac:dyDescent="0.25"/>
  </sheetData>
  <mergeCells count="41">
    <mergeCell ref="AA38:AB38"/>
    <mergeCell ref="B38:F38"/>
    <mergeCell ref="I38:M38"/>
    <mergeCell ref="P38:Q38"/>
    <mergeCell ref="R38:S38"/>
    <mergeCell ref="T38:V38"/>
    <mergeCell ref="X38:Y38"/>
    <mergeCell ref="P36:Q36"/>
    <mergeCell ref="R36:S36"/>
    <mergeCell ref="T36:V36"/>
    <mergeCell ref="X36:Y36"/>
    <mergeCell ref="AA36:AB36"/>
    <mergeCell ref="P37:Q37"/>
    <mergeCell ref="R37:S37"/>
    <mergeCell ref="T37:V37"/>
    <mergeCell ref="X37:Y37"/>
    <mergeCell ref="AA37:AB37"/>
    <mergeCell ref="F25:I25"/>
    <mergeCell ref="F26:M30"/>
    <mergeCell ref="AA26:AB26"/>
    <mergeCell ref="Z29:AA31"/>
    <mergeCell ref="P32:R32"/>
    <mergeCell ref="Z32:AB32"/>
    <mergeCell ref="T18:X18"/>
    <mergeCell ref="T20:X20"/>
    <mergeCell ref="T21:X21"/>
    <mergeCell ref="F22:I22"/>
    <mergeCell ref="T22:AB24"/>
    <mergeCell ref="F24:I24"/>
    <mergeCell ref="T13:X13"/>
    <mergeCell ref="F14:M14"/>
    <mergeCell ref="T14:X14"/>
    <mergeCell ref="F15:M15"/>
    <mergeCell ref="F16:M16"/>
    <mergeCell ref="F17:M17"/>
    <mergeCell ref="B5:M5"/>
    <mergeCell ref="P5:AB5"/>
    <mergeCell ref="B6:M6"/>
    <mergeCell ref="P6:AB6"/>
    <mergeCell ref="T11:X11"/>
    <mergeCell ref="T12:X12"/>
  </mergeCells>
  <dataValidations count="1">
    <dataValidation type="list" allowBlank="1" showInputMessage="1" showErrorMessage="1" sqref="I23" xr:uid="{86978DCE-FB43-48C6-8F53-21029FCFCBD4}">
      <formula1>"WIB,WIT,WITA"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Data</vt:lpstr>
      <vt:lpstr>Template</vt:lpstr>
      <vt:lpstr>NAMA 1</vt:lpstr>
      <vt:lpstr>Template (2)</vt:lpstr>
      <vt:lpstr>Indra Warman 1</vt:lpstr>
      <vt:lpstr>Indra Warman 2</vt:lpstr>
      <vt:lpstr>Indra Warman 3</vt:lpstr>
      <vt:lpstr>Indra Warman 4</vt:lpstr>
      <vt:lpstr>Syukurman Zebua 1</vt:lpstr>
      <vt:lpstr>Syukurman Zebua 2</vt:lpstr>
      <vt:lpstr>Renal Chandra 1</vt:lpstr>
      <vt:lpstr>Renal Chandra 2</vt:lpstr>
      <vt:lpstr>Renal Chandra 3</vt:lpstr>
      <vt:lpstr>Renal Chandra 4</vt:lpstr>
      <vt:lpstr>Rahmat Fajcly 1</vt:lpstr>
      <vt:lpstr>Rahmat Fajcly 2</vt:lpstr>
      <vt:lpstr>Rahmat Fajcly 3</vt:lpstr>
      <vt:lpstr>Rahmat Fajcly 4</vt:lpstr>
      <vt:lpstr>Syabran Jamil 1</vt:lpstr>
      <vt:lpstr>Syabran Jamil 2</vt:lpstr>
      <vt:lpstr>Syabran Jamil 3</vt:lpstr>
      <vt:lpstr>Syabran Jamil 4</vt:lpstr>
      <vt:lpstr>Dedi Nofianto 1</vt:lpstr>
      <vt:lpstr>Dedi Nofianto 2</vt:lpstr>
      <vt:lpstr>Dedi Nofianto 3</vt:lpstr>
      <vt:lpstr>Dedi Nofianto 4</vt:lpstr>
      <vt:lpstr>Eko Hari Santosa 1</vt:lpstr>
      <vt:lpstr>Eko Hari Santosa 2</vt:lpstr>
      <vt:lpstr>Eko Hari Santosa 3</vt:lpstr>
      <vt:lpstr>Eko Hari Santosa 4</vt:lpstr>
      <vt:lpstr>Eko Hari Santosa 5</vt:lpstr>
      <vt:lpstr>Iwan Taruna C 1</vt:lpstr>
      <vt:lpstr>Iwan Taruna C 2</vt:lpstr>
      <vt:lpstr>Iwan Taruna C 3</vt:lpstr>
      <vt:lpstr>Iwan Taruna C 4</vt:lpstr>
      <vt:lpstr>Andi Wijaya 1</vt:lpstr>
      <vt:lpstr>Andi Wijaya 2</vt:lpstr>
      <vt:lpstr>Andi Wijaya 3</vt:lpstr>
      <vt:lpstr>Andi Wijaya 4</vt:lpstr>
      <vt:lpstr>Andi Wijaya 5</vt:lpstr>
      <vt:lpstr>Syahril 1</vt:lpstr>
      <vt:lpstr>Syahril 2</vt:lpstr>
      <vt:lpstr>Syahril 3</vt:lpstr>
      <vt:lpstr>Syahril 4</vt:lpstr>
      <vt:lpstr>Syahril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indah karlina</cp:lastModifiedBy>
  <dcterms:created xsi:type="dcterms:W3CDTF">2025-01-10T09:31:22Z</dcterms:created>
  <dcterms:modified xsi:type="dcterms:W3CDTF">2025-01-25T16:22:35Z</dcterms:modified>
</cp:coreProperties>
</file>