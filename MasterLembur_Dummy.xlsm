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pat Kerja\DumbProject\"/>
    </mc:Choice>
  </mc:AlternateContent>
  <xr:revisionPtr revIDLastSave="0" documentId="13_ncr:1_{57E165E7-EA21-493B-BBEE-55C85A41C7FB}" xr6:coauthVersionLast="47" xr6:coauthVersionMax="47" xr10:uidLastSave="{00000000-0000-0000-0000-000000000000}"/>
  <bookViews>
    <workbookView xWindow="-108" yWindow="-108" windowWidth="23256" windowHeight="12456" activeTab="1" xr2:uid="{B4D7352A-62ED-4C8F-AE0F-D639D4DFD7F9}"/>
  </bookViews>
  <sheets>
    <sheet name="Mapping" sheetId="200" r:id="rId1"/>
    <sheet name="Template" sheetId="204" r:id="rId2"/>
    <sheet name="Data" sheetId="199" r:id="rId3"/>
    <sheet name="Sheet3" sheetId="205" r:id="rId4"/>
  </sheets>
  <functionGroups builtInGroupCount="19"/>
  <definedNames>
    <definedName name="_xlnm._FilterDatabase" localSheetId="3" hidden="1">Sheet3!$A$1:$B$12</definedName>
    <definedName name="_xlnm.Print_Area" localSheetId="0">Mapping!$A$1:$J$67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99" l="1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8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2" i="199"/>
  <c r="R38" i="204"/>
  <c r="R37" i="204"/>
  <c r="Z26" i="204"/>
  <c r="L23" i="204"/>
  <c r="T22" i="204"/>
  <c r="T21" i="204"/>
  <c r="T20" i="204"/>
  <c r="AA19" i="204"/>
  <c r="W19" i="204"/>
  <c r="V19" i="204"/>
  <c r="U19" i="204"/>
  <c r="T19" i="204"/>
  <c r="T18" i="204"/>
  <c r="T14" i="204"/>
  <c r="T13" i="204"/>
  <c r="T12" i="204"/>
  <c r="T11" i="204"/>
  <c r="P33" i="204" l="1"/>
  <c r="P32" i="204"/>
</calcChain>
</file>

<file path=xl/sharedStrings.xml><?xml version="1.0" encoding="utf-8"?>
<sst xmlns="http://schemas.openxmlformats.org/spreadsheetml/2006/main" count="575" uniqueCount="128">
  <si>
    <t>MAPPING LEMBUR BULAN SEPTEMBER 2025 IT DUMAI</t>
  </si>
  <si>
    <t>NOPEK</t>
  </si>
  <si>
    <t>NAMA</t>
  </si>
  <si>
    <t>WILAYAH</t>
  </si>
  <si>
    <t>LOKASI</t>
  </si>
  <si>
    <t>JENIS PEKERJAAN</t>
  </si>
  <si>
    <t>TANGGAL</t>
  </si>
  <si>
    <t>JAM MULAI</t>
  </si>
  <si>
    <t>JAM SELESAI</t>
  </si>
  <si>
    <t>JUMLAH</t>
  </si>
  <si>
    <t>AKTIVITAS</t>
  </si>
  <si>
    <t>M093-115325</t>
  </si>
  <si>
    <t>Renal Chandra</t>
  </si>
  <si>
    <t>MOR I</t>
  </si>
  <si>
    <t>Integrated Terminal Dumai Fuel</t>
  </si>
  <si>
    <t>Harian</t>
  </si>
  <si>
    <t>05/09/2025</t>
  </si>
  <si>
    <t>Hari Libur Nasional Maulid Nabi Muhammad SAW</t>
  </si>
  <si>
    <t>Bantuan Personel Jaga</t>
  </si>
  <si>
    <t>M093-243689</t>
  </si>
  <si>
    <t>Rahmat Fajcly</t>
  </si>
  <si>
    <t>Rahmad Fajcly</t>
  </si>
  <si>
    <t>MO93-115330</t>
  </si>
  <si>
    <t>Dedi Nofianto</t>
  </si>
  <si>
    <t>Shift</t>
  </si>
  <si>
    <t>Kelebihan Jam Kerja</t>
  </si>
  <si>
    <t>Menggantikan Sdr. Andi Wijaya Dinas</t>
  </si>
  <si>
    <t>M093-213167</t>
  </si>
  <si>
    <t>Syahril</t>
  </si>
  <si>
    <t>M093-115329</t>
  </si>
  <si>
    <t>Andi Wijaya</t>
  </si>
  <si>
    <t>Menggantikan Sdr. Syahril Cuti</t>
  </si>
  <si>
    <t>M093-193377</t>
  </si>
  <si>
    <t xml:space="preserve">Iwan Taruna </t>
  </si>
  <si>
    <t>Iwan Taruna</t>
  </si>
  <si>
    <t>M093-115331</t>
  </si>
  <si>
    <t>Eko Hari Santosa</t>
  </si>
  <si>
    <t>Menggantikan Sdr. Syahril Cuti Melahirkan</t>
  </si>
  <si>
    <t>M093-234340</t>
  </si>
  <si>
    <t>Syukurman Zebua</t>
  </si>
  <si>
    <t>M093-115315</t>
  </si>
  <si>
    <t>Indra Warman</t>
  </si>
  <si>
    <t>F006-240232</t>
  </si>
  <si>
    <t>M. Fathir Al Ahctur</t>
  </si>
  <si>
    <t>M. Fathir Al Achtur</t>
  </si>
  <si>
    <t>Dumai, 16 September  2025</t>
  </si>
  <si>
    <t>Dibuat Oleh</t>
  </si>
  <si>
    <t xml:space="preserve">Mengetahui </t>
  </si>
  <si>
    <t>Menyetujui</t>
  </si>
  <si>
    <t>PT. Pertamina Training &amp; Consulting</t>
  </si>
  <si>
    <t>PT. Pertamina Patra Niaga</t>
  </si>
  <si>
    <t>Danru IT Dumai</t>
  </si>
  <si>
    <t xml:space="preserve">Koordinator Lapangan MOR I </t>
  </si>
  <si>
    <t>Integrated Terminal Manager Dumai</t>
  </si>
  <si>
    <t>Efendi Sihombing</t>
  </si>
  <si>
    <t>Jhonny Mangaraja Silalahi</t>
  </si>
  <si>
    <t xml:space="preserve"> s/d </t>
  </si>
  <si>
    <t>SURAT PERMINTAAN KERJA LEMBUR</t>
  </si>
  <si>
    <t>No.- ………………….………………….</t>
  </si>
  <si>
    <t>SURAT PERINTAH KERJA LEMBUR</t>
  </si>
  <si>
    <t>Kepada Yth</t>
  </si>
  <si>
    <t>:</t>
  </si>
  <si>
    <t>Security Services Manager</t>
  </si>
  <si>
    <t>Dengan Ini Menugaskan:</t>
  </si>
  <si>
    <t>Nama</t>
  </si>
  <si>
    <t>Mengharapkan bantuan saudara untuk menugaskan:</t>
  </si>
  <si>
    <t>No. ID Card</t>
  </si>
  <si>
    <t>Bagian/Penempatan</t>
  </si>
  <si>
    <t>Jenis Pekerjaan</t>
  </si>
  <si>
    <t>MOR I SUMBAGUT</t>
  </si>
  <si>
    <t>Untuk melaksanakan kerja lembur :</t>
  </si>
  <si>
    <t>Security Harian</t>
  </si>
  <si>
    <t>Hari/Tanggal</t>
  </si>
  <si>
    <t>Waktu</t>
  </si>
  <si>
    <t>Jumlah :</t>
  </si>
  <si>
    <t>Jam</t>
  </si>
  <si>
    <t>Lokasi</t>
  </si>
  <si>
    <t>Biaya Ditanggung Oleh</t>
  </si>
  <si>
    <t>Sabtu, 04 Juli 2026</t>
  </si>
  <si>
    <t>Pekerjaan Yang Dilemburkan</t>
  </si>
  <si>
    <t>Waktu  Mulai/Selesai Pekerjaan</t>
  </si>
  <si>
    <t>WIB</t>
  </si>
  <si>
    <t>Perusahaan</t>
  </si>
  <si>
    <t>Bantuan Personil Jaga</t>
  </si>
  <si>
    <t>YBS,</t>
  </si>
  <si>
    <t>Koordinator Lapangan MOR 1</t>
  </si>
  <si>
    <t>Mengetahui,</t>
  </si>
  <si>
    <t>Dumai,</t>
  </si>
  <si>
    <t>Yeddi Sumaryono</t>
  </si>
  <si>
    <t>Spv I HSSE &amp; FLEET SAFETY</t>
  </si>
  <si>
    <t>SECURITY</t>
  </si>
  <si>
    <t>HSE*)</t>
  </si>
  <si>
    <t>KETERANGAN</t>
  </si>
  <si>
    <t>PUKUL</t>
  </si>
  <si>
    <t>TANDA TANGAN</t>
  </si>
  <si>
    <t>*) Apabila memasuki area terbatas/larangan/limit hazard</t>
  </si>
  <si>
    <t xml:space="preserve">PT. Dummy XYZ </t>
  </si>
  <si>
    <t>Pjs. Dummy XYZ</t>
  </si>
  <si>
    <t>PT. DUMMY XYZ</t>
  </si>
  <si>
    <t>XYZ093-115331</t>
  </si>
  <si>
    <t>Hatari Tamata</t>
  </si>
  <si>
    <t>Tanggo Rahmadan</t>
  </si>
  <si>
    <t>Kevin Wiratama</t>
  </si>
  <si>
    <t>Kantor Cabang Ops Barat</t>
  </si>
  <si>
    <t>Cahyono</t>
  </si>
  <si>
    <t>Dirga Marabela</t>
  </si>
  <si>
    <t>Artha Pusaka</t>
  </si>
  <si>
    <t>Fahri El Shirazy</t>
  </si>
  <si>
    <t>Nathan Januardi</t>
  </si>
  <si>
    <t>Keenan Avalon</t>
  </si>
  <si>
    <t>Lintang Ardianta</t>
  </si>
  <si>
    <t>Sandi Herta</t>
  </si>
  <si>
    <t>Dilan Bilal Faktor</t>
  </si>
  <si>
    <t>Agustin Fahren</t>
  </si>
  <si>
    <t>Menggantikan Sdr. Fahri El Shirazy Cuti</t>
  </si>
  <si>
    <t>Menggantikan Sdr. Fahri El Shirazy Cuti Melahirkan</t>
  </si>
  <si>
    <t>Menggantikan Sdr. Nathan Januardi Dinas</t>
  </si>
  <si>
    <t>XYZ0-115325</t>
  </si>
  <si>
    <t>XYZ0-243689</t>
  </si>
  <si>
    <t>XYZ0-213167</t>
  </si>
  <si>
    <t>XYZ0-115329</t>
  </si>
  <si>
    <t>XYZ0-193377</t>
  </si>
  <si>
    <t>XYZ0-115331</t>
  </si>
  <si>
    <t>XYZ0-234340</t>
  </si>
  <si>
    <t>XYZ0-115315</t>
  </si>
  <si>
    <t>XYZ0-115330</t>
  </si>
  <si>
    <t>XYZ0-240232</t>
  </si>
  <si>
    <t>NOREG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</si>
</sst>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[$-421]dddd\,\ dd\ mmmm\ yyyy;@"/>
    <numFmt numFmtId="166" formatCode="h\,m"/>
    <numFmt numFmtId="167" formatCode="[$-421]dd\ mmmm\ yyyy;@"/>
  </numFmts>
  <fonts count="14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00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dashed">
        <color rgb="FFA6A6A6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hair">
        <color auto="1"/>
      </bottom>
      <diagonal/>
    </border>
    <border>
      <left/>
      <right/>
      <top style="thin">
        <color rgb="FFFFFFFF"/>
      </top>
      <bottom style="hair">
        <color auto="1"/>
      </bottom>
      <diagonal/>
    </border>
    <border>
      <left/>
      <right style="thin">
        <color rgb="FFFFFFFF"/>
      </right>
      <top style="thin">
        <color rgb="FFFFFFFF"/>
      </top>
      <bottom style="hair">
        <color auto="1"/>
      </bottom>
      <diagonal/>
    </border>
    <border>
      <left style="thin">
        <color rgb="FFFFFFFF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rgb="FFFFFFFF"/>
      </right>
      <top style="hair">
        <color auto="1"/>
      </top>
      <bottom style="hair">
        <color auto="1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hair">
        <color rgb="FFFFFFFF"/>
      </left>
      <right style="hair">
        <color rgb="FFFFFFFF"/>
      </right>
      <top style="hair">
        <color auto="1"/>
      </top>
      <bottom style="hair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hair">
        <color auto="1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 style="hair">
        <color auto="1"/>
      </top>
      <bottom style="hair">
        <color auto="1"/>
      </bottom>
      <diagonal/>
    </border>
    <border>
      <left style="thin">
        <color rgb="FFFFFFFF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rgb="FFFFFFFF"/>
      </right>
      <top/>
      <bottom style="hair">
        <color auto="1"/>
      </bottom>
      <diagonal/>
    </border>
    <border>
      <left style="thin">
        <color rgb="FFFFFFFF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rgb="FFFFFFFF"/>
      </right>
      <top style="hair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auto="1"/>
      </bottom>
      <diagonal/>
    </border>
    <border>
      <left/>
      <right/>
      <top style="thin">
        <color rgb="FFFFFFFF"/>
      </top>
      <bottom style="thin">
        <color auto="1"/>
      </bottom>
      <diagonal/>
    </border>
    <border>
      <left/>
      <right style="thin">
        <color rgb="FFFFFFFF"/>
      </right>
      <top style="thin">
        <color rgb="FFFFFFFF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ashed">
        <color rgb="FFA6A6A6"/>
      </left>
      <right style="thin">
        <color rgb="FFFFFFFF"/>
      </right>
      <top/>
      <bottom style="thin">
        <color rgb="FFFFFFFF"/>
      </bottom>
      <diagonal/>
    </border>
    <border>
      <left style="dashed">
        <color rgb="FFA6A6A6"/>
      </left>
      <right style="thin">
        <color rgb="FFFFFFFF"/>
      </right>
      <top style="thin">
        <color rgb="FFFFFFFF"/>
      </top>
      <bottom/>
      <diagonal/>
    </border>
    <border>
      <left style="dashed">
        <color rgb="FFA6A6A6"/>
      </left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hair">
        <color auto="1"/>
      </bottom>
      <diagonal/>
    </border>
    <border>
      <left/>
      <right/>
      <top style="thin">
        <color theme="0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 style="hair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25">
    <xf numFmtId="0" fontId="0" fillId="0" borderId="0" xfId="0"/>
    <xf numFmtId="164" fontId="0" fillId="0" borderId="0" xfId="0" applyNumberFormat="1"/>
    <xf numFmtId="20" fontId="0" fillId="0" borderId="0" xfId="0" applyNumberFormat="1" applyAlignment="1">
      <alignment horizontal="center"/>
    </xf>
    <xf numFmtId="20" fontId="0" fillId="0" borderId="0" xfId="0" applyNumberFormat="1"/>
    <xf numFmtId="0" fontId="2" fillId="2" borderId="0" xfId="0" applyFont="1" applyFill="1"/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164" fontId="4" fillId="0" borderId="1" xfId="0" quotePrefix="1" applyNumberFormat="1" applyFont="1" applyBorder="1" applyAlignment="1" applyProtection="1">
      <alignment horizontal="center"/>
      <protection locked="0"/>
    </xf>
    <xf numFmtId="20" fontId="4" fillId="0" borderId="1" xfId="0" applyNumberFormat="1" applyFont="1" applyBorder="1" applyAlignment="1" applyProtection="1">
      <alignment horizontal="center" vertical="center"/>
      <protection locked="0"/>
    </xf>
    <xf numFmtId="20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left"/>
      <protection locked="0"/>
    </xf>
    <xf numFmtId="164" fontId="0" fillId="0" borderId="1" xfId="0" applyNumberFormat="1" applyBorder="1"/>
    <xf numFmtId="20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2" fillId="2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/>
    <xf numFmtId="0" fontId="0" fillId="0" borderId="0" xfId="0" applyAlignment="1">
      <alignment horizontal="left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0" fontId="9" fillId="0" borderId="6" xfId="0" applyFont="1" applyBorder="1" applyAlignment="1" applyProtection="1">
      <alignment horizontal="center"/>
      <protection locked="0"/>
    </xf>
    <xf numFmtId="0" fontId="10" fillId="0" borderId="2" xfId="0" applyFont="1" applyBorder="1"/>
    <xf numFmtId="0" fontId="10" fillId="0" borderId="2" xfId="0" applyFont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0" fillId="0" borderId="7" xfId="0" applyFont="1" applyBorder="1" applyAlignment="1" applyProtection="1">
      <alignment horizontal="left" vertical="center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10" fillId="0" borderId="9" xfId="0" applyFont="1" applyBorder="1" applyAlignment="1" applyProtection="1">
      <alignment horizontal="left" vertical="center"/>
      <protection locked="0"/>
    </xf>
    <xf numFmtId="0" fontId="10" fillId="0" borderId="10" xfId="0" applyFont="1" applyBorder="1" applyAlignment="1" applyProtection="1">
      <alignment horizontal="left" vertical="center"/>
      <protection locked="0"/>
    </xf>
    <xf numFmtId="0" fontId="10" fillId="0" borderId="11" xfId="0" applyFont="1" applyBorder="1" applyAlignment="1" applyProtection="1">
      <alignment horizontal="left" vertical="center"/>
      <protection locked="0"/>
    </xf>
    <xf numFmtId="0" fontId="10" fillId="0" borderId="12" xfId="0" applyFont="1" applyBorder="1" applyAlignment="1" applyProtection="1">
      <alignment horizontal="left" vertical="center"/>
      <protection locked="0"/>
    </xf>
    <xf numFmtId="0" fontId="10" fillId="0" borderId="13" xfId="0" applyFont="1" applyBorder="1"/>
    <xf numFmtId="0" fontId="10" fillId="0" borderId="2" xfId="0" applyFont="1" applyBorder="1" applyAlignment="1">
      <alignment horizontal="right"/>
    </xf>
    <xf numFmtId="0" fontId="7" fillId="0" borderId="13" xfId="0" applyFont="1" applyBorder="1"/>
    <xf numFmtId="165" fontId="10" fillId="0" borderId="7" xfId="0" applyNumberFormat="1" applyFont="1" applyBorder="1" applyAlignment="1">
      <alignment horizontal="left" vertical="center"/>
    </xf>
    <xf numFmtId="20" fontId="10" fillId="0" borderId="10" xfId="0" applyNumberFormat="1" applyFont="1" applyBorder="1" applyAlignment="1">
      <alignment horizontal="center" vertical="center"/>
    </xf>
    <xf numFmtId="20" fontId="10" fillId="0" borderId="14" xfId="0" applyNumberFormat="1" applyFont="1" applyBorder="1" applyAlignment="1">
      <alignment vertical="center"/>
    </xf>
    <xf numFmtId="20" fontId="10" fillId="0" borderId="14" xfId="0" applyNumberFormat="1" applyFont="1" applyBorder="1" applyAlignment="1">
      <alignment horizontal="center" vertical="center"/>
    </xf>
    <xf numFmtId="20" fontId="10" fillId="0" borderId="12" xfId="0" applyNumberFormat="1" applyFont="1" applyBorder="1" applyAlignment="1">
      <alignment vertical="center"/>
    </xf>
    <xf numFmtId="0" fontId="10" fillId="0" borderId="2" xfId="0" applyFont="1" applyBorder="1" applyAlignment="1">
      <alignment horizontal="right" vertical="center"/>
    </xf>
    <xf numFmtId="166" fontId="10" fillId="0" borderId="15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 applyProtection="1">
      <alignment horizontal="left" vertical="center"/>
      <protection locked="0"/>
    </xf>
    <xf numFmtId="165" fontId="10" fillId="0" borderId="8" xfId="0" applyNumberFormat="1" applyFont="1" applyBorder="1" applyAlignment="1" applyProtection="1">
      <alignment horizontal="left" vertical="center"/>
      <protection locked="0"/>
    </xf>
    <xf numFmtId="165" fontId="10" fillId="0" borderId="9" xfId="0" applyNumberFormat="1" applyFont="1" applyBorder="1" applyAlignment="1" applyProtection="1">
      <alignment horizontal="left" vertical="center"/>
      <protection locked="0"/>
    </xf>
    <xf numFmtId="0" fontId="10" fillId="0" borderId="16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17" xfId="0" applyFont="1" applyBorder="1" applyAlignment="1">
      <alignment horizontal="left" vertical="top" wrapText="1"/>
    </xf>
    <xf numFmtId="20" fontId="10" fillId="0" borderId="10" xfId="0" applyNumberFormat="1" applyFont="1" applyBorder="1" applyAlignment="1" applyProtection="1">
      <alignment horizontal="center" vertical="center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Alignment="1" applyProtection="1">
      <alignment vertical="center"/>
      <protection locked="0"/>
    </xf>
    <xf numFmtId="0" fontId="10" fillId="0" borderId="19" xfId="0" applyFont="1" applyBorder="1" applyAlignment="1">
      <alignment horizontal="left" vertical="top" wrapText="1"/>
    </xf>
    <xf numFmtId="0" fontId="10" fillId="0" borderId="20" xfId="0" applyFont="1" applyBorder="1" applyAlignment="1">
      <alignment horizontal="left" vertical="top" wrapText="1"/>
    </xf>
    <xf numFmtId="0" fontId="10" fillId="0" borderId="21" xfId="0" applyFont="1" applyBorder="1" applyAlignment="1">
      <alignment horizontal="left" vertical="top" wrapText="1"/>
    </xf>
    <xf numFmtId="0" fontId="10" fillId="0" borderId="22" xfId="0" applyFont="1" applyBorder="1" applyAlignment="1" applyProtection="1">
      <alignment horizontal="left" vertical="center"/>
      <protection locked="0"/>
    </xf>
    <xf numFmtId="0" fontId="10" fillId="0" borderId="23" xfId="0" applyFont="1" applyBorder="1" applyAlignment="1" applyProtection="1">
      <alignment horizontal="left" vertical="center"/>
      <protection locked="0"/>
    </xf>
    <xf numFmtId="0" fontId="10" fillId="0" borderId="24" xfId="0" applyFont="1" applyBorder="1" applyAlignment="1" applyProtection="1">
      <alignment horizontal="left" vertical="center"/>
      <protection locked="0"/>
    </xf>
    <xf numFmtId="0" fontId="7" fillId="0" borderId="25" xfId="0" applyFont="1" applyBorder="1"/>
    <xf numFmtId="0" fontId="10" fillId="0" borderId="25" xfId="0" applyFont="1" applyBorder="1"/>
    <xf numFmtId="0" fontId="10" fillId="0" borderId="3" xfId="0" applyFont="1" applyBorder="1" applyAlignment="1">
      <alignment horizontal="center" vertical="center"/>
    </xf>
    <xf numFmtId="49" fontId="10" fillId="0" borderId="26" xfId="0" quotePrefix="1" applyNumberFormat="1" applyFont="1" applyBorder="1" applyAlignment="1" applyProtection="1">
      <alignment horizontal="left" vertical="top" wrapText="1"/>
      <protection locked="0"/>
    </xf>
    <xf numFmtId="49" fontId="10" fillId="0" borderId="27" xfId="0" quotePrefix="1" applyNumberFormat="1" applyFont="1" applyBorder="1" applyAlignment="1" applyProtection="1">
      <alignment horizontal="left" vertical="top" wrapText="1"/>
      <protection locked="0"/>
    </xf>
    <xf numFmtId="49" fontId="10" fillId="0" borderId="28" xfId="0" quotePrefix="1" applyNumberFormat="1" applyFont="1" applyBorder="1" applyAlignment="1" applyProtection="1">
      <alignment horizontal="left" vertical="top" wrapText="1"/>
      <protection locked="0"/>
    </xf>
    <xf numFmtId="0" fontId="7" fillId="0" borderId="5" xfId="0" applyFont="1" applyBorder="1"/>
    <xf numFmtId="0" fontId="10" fillId="0" borderId="2" xfId="0" applyFont="1" applyBorder="1" applyAlignment="1" applyProtection="1">
      <alignment horizontal="left" vertical="center"/>
      <protection locked="0"/>
    </xf>
    <xf numFmtId="167" fontId="10" fillId="0" borderId="3" xfId="0" applyNumberFormat="1" applyFont="1" applyBorder="1" applyAlignment="1" applyProtection="1">
      <alignment horizontal="left" vertical="center"/>
      <protection locked="0"/>
    </xf>
    <xf numFmtId="167" fontId="10" fillId="0" borderId="6" xfId="0" applyNumberFormat="1" applyFont="1" applyBorder="1" applyAlignment="1" applyProtection="1">
      <alignment horizontal="left" vertical="center"/>
      <protection locked="0"/>
    </xf>
    <xf numFmtId="0" fontId="10" fillId="0" borderId="3" xfId="0" applyFont="1" applyBorder="1"/>
    <xf numFmtId="49" fontId="10" fillId="0" borderId="29" xfId="0" quotePrefix="1" applyNumberFormat="1" applyFont="1" applyBorder="1" applyAlignment="1" applyProtection="1">
      <alignment horizontal="left" vertical="top" wrapText="1"/>
      <protection locked="0"/>
    </xf>
    <xf numFmtId="49" fontId="10" fillId="0" borderId="0" xfId="0" quotePrefix="1" applyNumberFormat="1" applyFont="1" applyAlignment="1" applyProtection="1">
      <alignment horizontal="left" vertical="top" wrapText="1"/>
      <protection locked="0"/>
    </xf>
    <xf numFmtId="49" fontId="10" fillId="0" borderId="30" xfId="0" quotePrefix="1" applyNumberFormat="1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>
      <alignment horizontal="center"/>
    </xf>
    <xf numFmtId="0" fontId="10" fillId="0" borderId="32" xfId="0" applyFont="1" applyBorder="1" applyAlignment="1">
      <alignment horizontal="center"/>
    </xf>
    <xf numFmtId="49" fontId="10" fillId="0" borderId="33" xfId="0" quotePrefix="1" applyNumberFormat="1" applyFont="1" applyBorder="1" applyAlignment="1" applyProtection="1">
      <alignment horizontal="left" vertical="top" wrapText="1"/>
      <protection locked="0"/>
    </xf>
    <xf numFmtId="49" fontId="10" fillId="0" borderId="34" xfId="0" quotePrefix="1" applyNumberFormat="1" applyFont="1" applyBorder="1" applyAlignment="1" applyProtection="1">
      <alignment horizontal="left" vertical="top" wrapText="1"/>
      <protection locked="0"/>
    </xf>
    <xf numFmtId="49" fontId="10" fillId="0" borderId="35" xfId="0" quotePrefix="1" applyNumberFormat="1" applyFont="1" applyBorder="1" applyAlignment="1" applyProtection="1">
      <alignment horizontal="left" vertical="top" wrapText="1"/>
      <protection locked="0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2" xfId="0" applyFont="1" applyBorder="1" applyProtection="1">
      <protection locked="0"/>
    </xf>
    <xf numFmtId="167" fontId="10" fillId="0" borderId="2" xfId="0" applyNumberFormat="1" applyFont="1" applyBorder="1" applyProtection="1">
      <protection locked="0"/>
    </xf>
    <xf numFmtId="0" fontId="11" fillId="0" borderId="38" xfId="0" applyFont="1" applyBorder="1" applyAlignment="1">
      <alignment horizontal="left" vertical="center"/>
    </xf>
    <xf numFmtId="0" fontId="11" fillId="0" borderId="39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0" fillId="0" borderId="41" xfId="0" applyFont="1" applyBorder="1" applyAlignment="1" applyProtection="1">
      <alignment horizontal="left"/>
      <protection locked="0"/>
    </xf>
    <xf numFmtId="0" fontId="7" fillId="0" borderId="42" xfId="0" applyFont="1" applyBorder="1"/>
    <xf numFmtId="0" fontId="12" fillId="0" borderId="13" xfId="0" applyFont="1" applyBorder="1"/>
    <xf numFmtId="0" fontId="7" fillId="0" borderId="43" xfId="0" applyFont="1" applyBorder="1"/>
    <xf numFmtId="0" fontId="11" fillId="0" borderId="25" xfId="0" applyFont="1" applyBorder="1" applyAlignment="1">
      <alignment horizontal="left" vertical="center"/>
    </xf>
    <xf numFmtId="0" fontId="7" fillId="0" borderId="44" xfId="0" applyFont="1" applyBorder="1"/>
    <xf numFmtId="0" fontId="13" fillId="3" borderId="1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0" fillId="0" borderId="5" xfId="0" applyFont="1" applyBorder="1"/>
    <xf numFmtId="0" fontId="13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20" fontId="10" fillId="0" borderId="45" xfId="0" applyNumberFormat="1" applyFont="1" applyBorder="1" applyAlignment="1" applyProtection="1">
      <alignment horizontal="center" vertical="center"/>
      <protection locked="0"/>
    </xf>
    <xf numFmtId="0" fontId="10" fillId="0" borderId="46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Protection="1">
      <protection locked="0"/>
    </xf>
    <xf numFmtId="0" fontId="10" fillId="0" borderId="47" xfId="0" applyFont="1" applyBorder="1" applyAlignment="1" applyProtection="1">
      <alignment horizontal="left" vertical="center"/>
      <protection locked="0"/>
    </xf>
    <xf numFmtId="0" fontId="10" fillId="0" borderId="48" xfId="0" applyFont="1" applyBorder="1" applyAlignment="1" applyProtection="1">
      <alignment horizontal="left" vertical="center"/>
      <protection locked="0"/>
    </xf>
    <xf numFmtId="0" fontId="10" fillId="0" borderId="49" xfId="0" applyFont="1" applyBorder="1" applyAlignment="1" applyProtection="1">
      <alignment horizontal="left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9" fontId="0" fillId="0" borderId="1" xfId="1" applyFont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1364226</xdr:colOff>
      <xdr:row>0</xdr:row>
      <xdr:rowOff>0</xdr:rowOff>
    </xdr:from>
    <xdr:to>
      <xdr:col>13</xdr:col>
      <xdr:colOff>86033</xdr:colOff>
      <xdr:row>7</xdr:row>
      <xdr:rowOff>89716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A09E26A-CFB5-1404-B96A-4707D71D82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18" t="17034" b="16719"/>
        <a:stretch/>
      </xdr:blipFill>
      <xdr:spPr>
        <a:xfrm>
          <a:off x="6685936" y="0"/>
          <a:ext cx="1966452" cy="1490813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381001</xdr:colOff>
      <xdr:row>0</xdr:row>
      <xdr:rowOff>0</xdr:rowOff>
    </xdr:from>
    <xdr:to>
      <xdr:col>30</xdr:col>
      <xdr:colOff>36872</xdr:colOff>
      <xdr:row>7</xdr:row>
      <xdr:rowOff>89716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BA00150-DD0B-40A5-8B97-41A827F459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18" t="17034" b="16719"/>
        <a:stretch/>
      </xdr:blipFill>
      <xdr:spPr>
        <a:xfrm>
          <a:off x="16702549" y="0"/>
          <a:ext cx="1966452" cy="1490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A67A7-459B-4F12-8948-0F49CB08BE21}">
  <sheetPr codeName="Sheet43">
    <pageSetUpPr fitToPage="1"/>
  </sheetPr>
  <dimension ref="A1:K67"/>
  <sheetViews>
    <sheetView topLeftCell="D1" zoomScale="81" zoomScaleNormal="81" workbookViewId="0">
      <selection activeCell="N1" sqref="A1:XFD1048576"/>
    </sheetView>
  </sheetViews>
  <sheetFormatPr defaultRowHeight="14.4" x14ac:dyDescent="0.3"/>
  <cols>
    <col min="1" max="1" width="26.77734375" bestFit="1" customWidth="1"/>
    <col min="2" max="2" width="17.88671875" bestFit="1" customWidth="1"/>
    <col min="3" max="3" width="13.33203125" bestFit="1" customWidth="1"/>
    <col min="4" max="4" width="33.6640625" bestFit="1" customWidth="1"/>
    <col min="5" max="5" width="27.88671875" bestFit="1" customWidth="1"/>
    <col min="6" max="6" width="13.88671875" style="1" bestFit="1" customWidth="1"/>
    <col min="7" max="7" width="15.6640625" bestFit="1" customWidth="1"/>
    <col min="8" max="8" width="18.6640625" bestFit="1" customWidth="1"/>
    <col min="9" max="9" width="11.77734375" bestFit="1" customWidth="1"/>
    <col min="10" max="10" width="53.21875" bestFit="1" customWidth="1"/>
  </cols>
  <sheetData>
    <row r="1" spans="1:11" x14ac:dyDescent="0.3">
      <c r="G1" s="2"/>
      <c r="H1" s="2"/>
      <c r="I1" s="3"/>
    </row>
    <row r="2" spans="1:11" ht="14.4" customHeight="1" x14ac:dyDescent="0.45">
      <c r="A2" s="19" t="s">
        <v>0</v>
      </c>
      <c r="B2" s="19"/>
      <c r="C2" s="19"/>
      <c r="D2" s="19"/>
      <c r="E2" s="19"/>
      <c r="F2" s="19"/>
      <c r="G2" s="19"/>
      <c r="H2" s="19"/>
      <c r="I2" s="19"/>
      <c r="J2" s="19"/>
      <c r="K2" s="4"/>
    </row>
    <row r="3" spans="1:11" ht="14.4" customHeight="1" x14ac:dyDescent="0.45">
      <c r="A3" s="19"/>
      <c r="B3" s="19"/>
      <c r="C3" s="19"/>
      <c r="D3" s="19"/>
      <c r="E3" s="19"/>
      <c r="F3" s="19"/>
      <c r="G3" s="19"/>
      <c r="H3" s="19"/>
      <c r="I3" s="19"/>
      <c r="J3" s="19"/>
      <c r="K3" s="4"/>
    </row>
    <row r="4" spans="1:11" ht="14.4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</row>
    <row r="5" spans="1:11" x14ac:dyDescent="0.3">
      <c r="A5" s="5" t="s">
        <v>1</v>
      </c>
      <c r="B5" s="5" t="s">
        <v>2</v>
      </c>
      <c r="C5" s="5" t="s">
        <v>3</v>
      </c>
      <c r="D5" s="5" t="s">
        <v>4</v>
      </c>
      <c r="E5" s="5" t="s">
        <v>5</v>
      </c>
      <c r="F5" s="6" t="s">
        <v>6</v>
      </c>
      <c r="G5" s="7" t="s">
        <v>7</v>
      </c>
      <c r="H5" s="7" t="s">
        <v>8</v>
      </c>
      <c r="I5" s="7" t="s">
        <v>9</v>
      </c>
      <c r="J5" s="5" t="s">
        <v>10</v>
      </c>
    </row>
    <row r="6" spans="1:11" x14ac:dyDescent="0.3">
      <c r="A6" s="8" t="s">
        <v>11</v>
      </c>
      <c r="B6" s="8" t="s">
        <v>12</v>
      </c>
      <c r="C6" s="9" t="s">
        <v>13</v>
      </c>
      <c r="D6" s="9" t="s">
        <v>14</v>
      </c>
      <c r="E6" s="9" t="s">
        <v>15</v>
      </c>
      <c r="F6" s="10" t="s">
        <v>16</v>
      </c>
      <c r="G6" s="11">
        <v>0.33333333333333331</v>
      </c>
      <c r="H6" s="11">
        <v>0.66666666666666663</v>
      </c>
      <c r="I6" s="12">
        <v>0.33333333333333331</v>
      </c>
      <c r="J6" s="13" t="s">
        <v>17</v>
      </c>
    </row>
    <row r="7" spans="1:11" x14ac:dyDescent="0.3">
      <c r="A7" s="8" t="s">
        <v>11</v>
      </c>
      <c r="B7" s="8" t="s">
        <v>12</v>
      </c>
      <c r="C7" s="9" t="s">
        <v>13</v>
      </c>
      <c r="D7" s="9" t="s">
        <v>14</v>
      </c>
      <c r="E7" s="9" t="s">
        <v>15</v>
      </c>
      <c r="F7" s="10">
        <v>45906</v>
      </c>
      <c r="G7" s="11">
        <v>0.33333333333333331</v>
      </c>
      <c r="H7" s="11">
        <v>0.66666666666666663</v>
      </c>
      <c r="I7" s="12">
        <v>0.33333333333333331</v>
      </c>
      <c r="J7" s="13" t="s">
        <v>18</v>
      </c>
    </row>
    <row r="8" spans="1:11" x14ac:dyDescent="0.3">
      <c r="A8" s="8" t="s">
        <v>11</v>
      </c>
      <c r="B8" s="8" t="s">
        <v>12</v>
      </c>
      <c r="C8" s="9" t="s">
        <v>13</v>
      </c>
      <c r="D8" s="9" t="s">
        <v>14</v>
      </c>
      <c r="E8" s="9" t="s">
        <v>15</v>
      </c>
      <c r="F8" s="10">
        <v>45907</v>
      </c>
      <c r="G8" s="11">
        <v>0.33333333333333331</v>
      </c>
      <c r="H8" s="11">
        <v>0.66666666666666663</v>
      </c>
      <c r="I8" s="12">
        <v>0.33333333333333331</v>
      </c>
      <c r="J8" s="13" t="s">
        <v>18</v>
      </c>
    </row>
    <row r="9" spans="1:11" x14ac:dyDescent="0.3">
      <c r="A9" s="8" t="s">
        <v>11</v>
      </c>
      <c r="B9" s="8" t="s">
        <v>12</v>
      </c>
      <c r="C9" s="9" t="s">
        <v>13</v>
      </c>
      <c r="D9" s="9" t="s">
        <v>14</v>
      </c>
      <c r="E9" s="9" t="s">
        <v>15</v>
      </c>
      <c r="F9" s="10">
        <v>45920</v>
      </c>
      <c r="G9" s="11">
        <v>0.33333333333333331</v>
      </c>
      <c r="H9" s="11">
        <v>0.66666666666666663</v>
      </c>
      <c r="I9" s="12">
        <v>0.33333333333333331</v>
      </c>
      <c r="J9" s="13" t="s">
        <v>18</v>
      </c>
    </row>
    <row r="10" spans="1:11" x14ac:dyDescent="0.3">
      <c r="A10" s="8"/>
      <c r="B10" s="8"/>
      <c r="C10" s="9"/>
      <c r="D10" s="9"/>
      <c r="E10" s="9"/>
      <c r="F10" s="10"/>
      <c r="G10" s="11"/>
      <c r="H10" s="11"/>
      <c r="I10" s="12"/>
      <c r="J10" s="13"/>
    </row>
    <row r="11" spans="1:11" x14ac:dyDescent="0.3">
      <c r="A11" s="8" t="s">
        <v>19</v>
      </c>
      <c r="B11" s="8" t="s">
        <v>20</v>
      </c>
      <c r="C11" s="9" t="s">
        <v>13</v>
      </c>
      <c r="D11" s="9" t="s">
        <v>14</v>
      </c>
      <c r="E11" s="9" t="s">
        <v>15</v>
      </c>
      <c r="F11" s="10">
        <v>45905</v>
      </c>
      <c r="G11" s="11">
        <v>0.33333333333333331</v>
      </c>
      <c r="H11" s="11">
        <v>0.66666666666666663</v>
      </c>
      <c r="I11" s="12">
        <v>0.33333333333333331</v>
      </c>
      <c r="J11" s="13" t="s">
        <v>17</v>
      </c>
    </row>
    <row r="12" spans="1:11" x14ac:dyDescent="0.3">
      <c r="A12" s="8" t="s">
        <v>19</v>
      </c>
      <c r="B12" s="8" t="s">
        <v>21</v>
      </c>
      <c r="C12" s="9" t="s">
        <v>13</v>
      </c>
      <c r="D12" s="9" t="s">
        <v>14</v>
      </c>
      <c r="E12" s="9" t="s">
        <v>15</v>
      </c>
      <c r="F12" s="10">
        <v>45914</v>
      </c>
      <c r="G12" s="11">
        <v>0.33333333333333298</v>
      </c>
      <c r="H12" s="11">
        <v>0.66666666666666696</v>
      </c>
      <c r="I12" s="12">
        <v>0.33333333333333398</v>
      </c>
      <c r="J12" s="13" t="s">
        <v>18</v>
      </c>
    </row>
    <row r="13" spans="1:11" x14ac:dyDescent="0.3">
      <c r="A13" s="8" t="s">
        <v>19</v>
      </c>
      <c r="B13" s="8" t="s">
        <v>21</v>
      </c>
      <c r="C13" s="9" t="s">
        <v>13</v>
      </c>
      <c r="D13" s="9" t="s">
        <v>14</v>
      </c>
      <c r="E13" s="9" t="s">
        <v>15</v>
      </c>
      <c r="F13" s="10">
        <v>45927</v>
      </c>
      <c r="G13" s="11">
        <v>0.33333333333333298</v>
      </c>
      <c r="H13" s="11">
        <v>0.66666666666666696</v>
      </c>
      <c r="I13" s="12">
        <v>0.33333333333333398</v>
      </c>
      <c r="J13" s="14" t="s">
        <v>18</v>
      </c>
    </row>
    <row r="14" spans="1:11" x14ac:dyDescent="0.3">
      <c r="A14" s="8" t="s">
        <v>19</v>
      </c>
      <c r="B14" s="8" t="s">
        <v>21</v>
      </c>
      <c r="C14" s="9" t="s">
        <v>13</v>
      </c>
      <c r="D14" s="9" t="s">
        <v>14</v>
      </c>
      <c r="E14" s="9" t="s">
        <v>15</v>
      </c>
      <c r="F14" s="10">
        <v>45928</v>
      </c>
      <c r="G14" s="11">
        <v>0.33333333333333298</v>
      </c>
      <c r="H14" s="11">
        <v>0.66666666666666696</v>
      </c>
      <c r="I14" s="12">
        <v>0.33333333333333398</v>
      </c>
      <c r="J14" s="14" t="s">
        <v>18</v>
      </c>
    </row>
    <row r="15" spans="1:11" x14ac:dyDescent="0.3">
      <c r="A15" s="8"/>
      <c r="B15" s="8"/>
      <c r="C15" s="9"/>
      <c r="D15" s="9"/>
      <c r="E15" s="9"/>
      <c r="F15" s="10"/>
      <c r="G15" s="11"/>
      <c r="H15" s="11"/>
      <c r="I15" s="12"/>
      <c r="J15" s="14"/>
    </row>
    <row r="16" spans="1:11" x14ac:dyDescent="0.3">
      <c r="A16" s="8" t="s">
        <v>22</v>
      </c>
      <c r="B16" s="8" t="s">
        <v>23</v>
      </c>
      <c r="C16" s="9" t="s">
        <v>13</v>
      </c>
      <c r="D16" s="9" t="s">
        <v>14</v>
      </c>
      <c r="E16" s="9" t="s">
        <v>24</v>
      </c>
      <c r="F16" s="15">
        <v>45913</v>
      </c>
      <c r="G16" s="16">
        <v>0.33333333333333331</v>
      </c>
      <c r="H16" s="11">
        <v>0.66666666666666663</v>
      </c>
      <c r="I16" s="12">
        <v>0.33333333333333331</v>
      </c>
      <c r="J16" s="13" t="s">
        <v>18</v>
      </c>
    </row>
    <row r="17" spans="1:10" x14ac:dyDescent="0.3">
      <c r="A17" s="8" t="s">
        <v>22</v>
      </c>
      <c r="B17" s="8" t="s">
        <v>23</v>
      </c>
      <c r="C17" s="9" t="s">
        <v>13</v>
      </c>
      <c r="D17" s="9" t="s">
        <v>14</v>
      </c>
      <c r="E17" s="9" t="s">
        <v>24</v>
      </c>
      <c r="F17" s="10">
        <v>45922</v>
      </c>
      <c r="G17" s="11">
        <v>0.66666666666666663</v>
      </c>
      <c r="H17" s="11">
        <v>0</v>
      </c>
      <c r="I17" s="12">
        <v>0.33333333333333337</v>
      </c>
      <c r="J17" s="13" t="s">
        <v>25</v>
      </c>
    </row>
    <row r="18" spans="1:10" x14ac:dyDescent="0.3">
      <c r="A18" s="8" t="s">
        <v>22</v>
      </c>
      <c r="B18" s="8" t="s">
        <v>23</v>
      </c>
      <c r="C18" s="9" t="s">
        <v>13</v>
      </c>
      <c r="D18" s="9" t="s">
        <v>14</v>
      </c>
      <c r="E18" s="9" t="s">
        <v>24</v>
      </c>
      <c r="F18" s="15">
        <v>45923</v>
      </c>
      <c r="G18" s="16">
        <v>0.33333333333333331</v>
      </c>
      <c r="H18" s="11">
        <v>0.66666666666666663</v>
      </c>
      <c r="I18" s="12">
        <v>0.33333333333333331</v>
      </c>
      <c r="J18" s="13" t="s">
        <v>26</v>
      </c>
    </row>
    <row r="19" spans="1:10" x14ac:dyDescent="0.3">
      <c r="A19" s="8" t="s">
        <v>22</v>
      </c>
      <c r="B19" s="8" t="s">
        <v>23</v>
      </c>
      <c r="C19" s="9" t="s">
        <v>13</v>
      </c>
      <c r="D19" s="9" t="s">
        <v>14</v>
      </c>
      <c r="E19" s="9" t="s">
        <v>24</v>
      </c>
      <c r="F19" s="15">
        <v>45925</v>
      </c>
      <c r="G19" s="16">
        <v>0.33333333333333331</v>
      </c>
      <c r="H19" s="11">
        <v>0.66666666666666663</v>
      </c>
      <c r="I19" s="12">
        <v>0.33333333333333331</v>
      </c>
      <c r="J19" s="13" t="s">
        <v>26</v>
      </c>
    </row>
    <row r="20" spans="1:10" x14ac:dyDescent="0.3">
      <c r="A20" s="8"/>
      <c r="B20" s="8"/>
      <c r="C20" s="9"/>
      <c r="D20" s="9"/>
      <c r="E20" s="9"/>
      <c r="F20" s="15"/>
      <c r="G20" s="16"/>
      <c r="H20" s="11"/>
      <c r="I20" s="12"/>
      <c r="J20" s="13"/>
    </row>
    <row r="21" spans="1:10" x14ac:dyDescent="0.3">
      <c r="A21" s="8" t="s">
        <v>27</v>
      </c>
      <c r="B21" s="8" t="s">
        <v>28</v>
      </c>
      <c r="C21" s="9" t="s">
        <v>13</v>
      </c>
      <c r="D21" s="9" t="s">
        <v>14</v>
      </c>
      <c r="E21" s="9" t="s">
        <v>24</v>
      </c>
      <c r="F21" s="15">
        <v>45921</v>
      </c>
      <c r="G21" s="16">
        <v>0.33333333333333331</v>
      </c>
      <c r="H21" s="11">
        <v>0.66666666666666663</v>
      </c>
      <c r="I21" s="12">
        <v>0.33333333333333331</v>
      </c>
      <c r="J21" s="13" t="s">
        <v>18</v>
      </c>
    </row>
    <row r="22" spans="1:10" x14ac:dyDescent="0.3">
      <c r="A22" s="8" t="s">
        <v>27</v>
      </c>
      <c r="B22" s="8" t="s">
        <v>28</v>
      </c>
      <c r="C22" s="9" t="s">
        <v>13</v>
      </c>
      <c r="D22" s="9" t="s">
        <v>14</v>
      </c>
      <c r="E22" s="9" t="s">
        <v>24</v>
      </c>
      <c r="F22" s="10">
        <v>45922</v>
      </c>
      <c r="G22" s="11">
        <v>0.66666666666666663</v>
      </c>
      <c r="H22" s="11">
        <v>0</v>
      </c>
      <c r="I22" s="12">
        <v>0.33333333333333337</v>
      </c>
      <c r="J22" s="13" t="s">
        <v>25</v>
      </c>
    </row>
    <row r="23" spans="1:10" x14ac:dyDescent="0.3">
      <c r="A23" s="8" t="s">
        <v>27</v>
      </c>
      <c r="B23" s="8" t="s">
        <v>28</v>
      </c>
      <c r="C23" s="9" t="s">
        <v>13</v>
      </c>
      <c r="D23" s="9" t="s">
        <v>14</v>
      </c>
      <c r="E23" s="9" t="s">
        <v>24</v>
      </c>
      <c r="F23" s="10">
        <v>45924</v>
      </c>
      <c r="G23" s="11">
        <v>0.33333333333333331</v>
      </c>
      <c r="H23" s="11">
        <v>0.66666666666666663</v>
      </c>
      <c r="I23" s="12">
        <v>0.33333333333333331</v>
      </c>
      <c r="J23" s="13" t="s">
        <v>26</v>
      </c>
    </row>
    <row r="24" spans="1:10" x14ac:dyDescent="0.3">
      <c r="A24" s="8"/>
      <c r="B24" s="8"/>
      <c r="C24" s="9"/>
      <c r="D24" s="9"/>
      <c r="E24" s="9"/>
      <c r="F24" s="10"/>
      <c r="G24" s="11"/>
      <c r="H24" s="11"/>
      <c r="I24" s="12"/>
      <c r="J24" s="13"/>
    </row>
    <row r="25" spans="1:10" x14ac:dyDescent="0.3">
      <c r="A25" s="8" t="s">
        <v>29</v>
      </c>
      <c r="B25" s="8" t="s">
        <v>30</v>
      </c>
      <c r="C25" s="9" t="s">
        <v>13</v>
      </c>
      <c r="D25" s="9" t="s">
        <v>14</v>
      </c>
      <c r="E25" s="9" t="s">
        <v>24</v>
      </c>
      <c r="F25" s="10">
        <v>45905</v>
      </c>
      <c r="G25" s="11">
        <v>0</v>
      </c>
      <c r="H25" s="11">
        <v>0.33333333333333331</v>
      </c>
      <c r="I25" s="12">
        <v>0.33333333333333331</v>
      </c>
      <c r="J25" s="13" t="s">
        <v>17</v>
      </c>
    </row>
    <row r="26" spans="1:10" x14ac:dyDescent="0.3">
      <c r="A26" s="8" t="s">
        <v>29</v>
      </c>
      <c r="B26" s="8" t="s">
        <v>30</v>
      </c>
      <c r="C26" s="9" t="s">
        <v>13</v>
      </c>
      <c r="D26" s="9" t="s">
        <v>14</v>
      </c>
      <c r="E26" s="9" t="s">
        <v>24</v>
      </c>
      <c r="F26" s="10">
        <v>45908</v>
      </c>
      <c r="G26" s="11">
        <v>0</v>
      </c>
      <c r="H26" s="11">
        <v>0.33333333333333331</v>
      </c>
      <c r="I26" s="12">
        <v>0.33333333333333331</v>
      </c>
      <c r="J26" s="14" t="s">
        <v>31</v>
      </c>
    </row>
    <row r="27" spans="1:10" x14ac:dyDescent="0.3">
      <c r="A27" s="8" t="s">
        <v>29</v>
      </c>
      <c r="B27" s="8" t="s">
        <v>30</v>
      </c>
      <c r="C27" s="9" t="s">
        <v>13</v>
      </c>
      <c r="D27" s="9" t="s">
        <v>14</v>
      </c>
      <c r="E27" s="9" t="s">
        <v>24</v>
      </c>
      <c r="F27" s="10">
        <v>45912</v>
      </c>
      <c r="G27" s="11">
        <v>0.66666666666666663</v>
      </c>
      <c r="H27" s="11">
        <v>0</v>
      </c>
      <c r="I27" s="12">
        <v>0.33333333333333337</v>
      </c>
      <c r="J27" s="14" t="s">
        <v>31</v>
      </c>
    </row>
    <row r="28" spans="1:10" x14ac:dyDescent="0.3">
      <c r="A28" s="8" t="s">
        <v>29</v>
      </c>
      <c r="B28" s="8" t="s">
        <v>30</v>
      </c>
      <c r="C28" s="9" t="s">
        <v>13</v>
      </c>
      <c r="D28" s="9" t="s">
        <v>14</v>
      </c>
      <c r="E28" s="9" t="s">
        <v>24</v>
      </c>
      <c r="F28" s="10">
        <v>45915</v>
      </c>
      <c r="G28" s="11">
        <v>0</v>
      </c>
      <c r="H28" s="11">
        <v>0.33333333333333331</v>
      </c>
      <c r="I28" s="12">
        <v>0.33333333333333331</v>
      </c>
      <c r="J28" s="14" t="s">
        <v>25</v>
      </c>
    </row>
    <row r="29" spans="1:10" x14ac:dyDescent="0.3">
      <c r="A29" s="8"/>
      <c r="B29" s="8"/>
      <c r="C29" s="9"/>
      <c r="D29" s="9"/>
      <c r="E29" s="9"/>
      <c r="F29" s="10"/>
      <c r="G29" s="11"/>
      <c r="H29" s="11"/>
      <c r="I29" s="12"/>
      <c r="J29" s="14"/>
    </row>
    <row r="30" spans="1:10" x14ac:dyDescent="0.3">
      <c r="A30" s="8" t="s">
        <v>32</v>
      </c>
      <c r="B30" s="8" t="s">
        <v>33</v>
      </c>
      <c r="C30" s="9" t="s">
        <v>13</v>
      </c>
      <c r="D30" s="9" t="s">
        <v>14</v>
      </c>
      <c r="E30" s="9" t="s">
        <v>24</v>
      </c>
      <c r="F30" s="10">
        <v>45905</v>
      </c>
      <c r="G30" s="11">
        <v>0.66666666666666663</v>
      </c>
      <c r="H30" s="11">
        <v>0</v>
      </c>
      <c r="I30" s="12">
        <v>0.33333333333333337</v>
      </c>
      <c r="J30" s="14" t="s">
        <v>17</v>
      </c>
    </row>
    <row r="31" spans="1:10" x14ac:dyDescent="0.3">
      <c r="A31" s="8" t="s">
        <v>32</v>
      </c>
      <c r="B31" s="8" t="s">
        <v>34</v>
      </c>
      <c r="C31" s="9" t="s">
        <v>13</v>
      </c>
      <c r="D31" s="9" t="s">
        <v>14</v>
      </c>
      <c r="E31" s="9" t="s">
        <v>24</v>
      </c>
      <c r="F31" s="10">
        <v>45910</v>
      </c>
      <c r="G31" s="11">
        <v>0.66666666666666663</v>
      </c>
      <c r="H31" s="11">
        <v>0</v>
      </c>
      <c r="I31" s="12">
        <v>0.33333333333333337</v>
      </c>
      <c r="J31" s="14" t="s">
        <v>31</v>
      </c>
    </row>
    <row r="32" spans="1:10" x14ac:dyDescent="0.3">
      <c r="A32" s="8" t="s">
        <v>32</v>
      </c>
      <c r="B32" s="8" t="s">
        <v>34</v>
      </c>
      <c r="C32" s="9" t="s">
        <v>13</v>
      </c>
      <c r="D32" s="9" t="s">
        <v>14</v>
      </c>
      <c r="E32" s="9" t="s">
        <v>24</v>
      </c>
      <c r="F32" s="10">
        <v>45911</v>
      </c>
      <c r="G32" s="11">
        <v>0.66666666666666663</v>
      </c>
      <c r="H32" s="11">
        <v>0</v>
      </c>
      <c r="I32" s="12">
        <v>0.33333333333333337</v>
      </c>
      <c r="J32" s="14" t="s">
        <v>31</v>
      </c>
    </row>
    <row r="33" spans="1:10" x14ac:dyDescent="0.3">
      <c r="A33" s="8" t="s">
        <v>32</v>
      </c>
      <c r="B33" s="8" t="s">
        <v>34</v>
      </c>
      <c r="C33" s="9" t="s">
        <v>13</v>
      </c>
      <c r="D33" s="9" t="s">
        <v>14</v>
      </c>
      <c r="E33" s="9" t="s">
        <v>24</v>
      </c>
      <c r="F33" s="10">
        <v>45915</v>
      </c>
      <c r="G33" s="11">
        <v>0</v>
      </c>
      <c r="H33" s="11">
        <v>0.33333333333333331</v>
      </c>
      <c r="I33" s="12">
        <v>0.33333333333333331</v>
      </c>
      <c r="J33" s="13" t="s">
        <v>25</v>
      </c>
    </row>
    <row r="34" spans="1:10" x14ac:dyDescent="0.3">
      <c r="A34" s="8"/>
      <c r="B34" s="8"/>
      <c r="C34" s="9"/>
      <c r="D34" s="9"/>
      <c r="E34" s="9"/>
      <c r="F34" s="10"/>
      <c r="G34" s="11"/>
      <c r="H34" s="11"/>
      <c r="I34" s="12"/>
      <c r="J34" s="13"/>
    </row>
    <row r="35" spans="1:10" x14ac:dyDescent="0.3">
      <c r="A35" s="8" t="s">
        <v>35</v>
      </c>
      <c r="B35" s="8" t="s">
        <v>36</v>
      </c>
      <c r="C35" s="9" t="s">
        <v>13</v>
      </c>
      <c r="D35" s="9" t="s">
        <v>14</v>
      </c>
      <c r="E35" s="9" t="s">
        <v>24</v>
      </c>
      <c r="F35" s="10">
        <v>45905</v>
      </c>
      <c r="G35" s="11">
        <v>0</v>
      </c>
      <c r="H35" s="11">
        <v>0.33333333333333331</v>
      </c>
      <c r="I35" s="12">
        <v>0.33333333333333337</v>
      </c>
      <c r="J35" s="13" t="s">
        <v>17</v>
      </c>
    </row>
    <row r="36" spans="1:10" x14ac:dyDescent="0.3">
      <c r="A36" s="8" t="s">
        <v>35</v>
      </c>
      <c r="B36" s="8" t="s">
        <v>36</v>
      </c>
      <c r="C36" s="9" t="s">
        <v>13</v>
      </c>
      <c r="D36" s="9" t="s">
        <v>14</v>
      </c>
      <c r="E36" s="9" t="s">
        <v>24</v>
      </c>
      <c r="F36" s="10">
        <v>45904</v>
      </c>
      <c r="G36" s="11">
        <v>0.33333333333333331</v>
      </c>
      <c r="H36" s="11">
        <v>0.66666666666666663</v>
      </c>
      <c r="I36" s="12">
        <v>0.33333333333333331</v>
      </c>
      <c r="J36" s="14" t="s">
        <v>37</v>
      </c>
    </row>
    <row r="37" spans="1:10" x14ac:dyDescent="0.3">
      <c r="A37" s="8" t="s">
        <v>35</v>
      </c>
      <c r="B37" s="8" t="s">
        <v>36</v>
      </c>
      <c r="C37" s="9" t="s">
        <v>13</v>
      </c>
      <c r="D37" s="9" t="s">
        <v>14</v>
      </c>
      <c r="E37" s="9" t="s">
        <v>24</v>
      </c>
      <c r="F37" s="10">
        <v>45908</v>
      </c>
      <c r="G37" s="11">
        <v>0.33333333333333331</v>
      </c>
      <c r="H37" s="11">
        <v>0.66666666666666663</v>
      </c>
      <c r="I37" s="12">
        <v>0.33333333333333331</v>
      </c>
      <c r="J37" s="14" t="s">
        <v>25</v>
      </c>
    </row>
    <row r="38" spans="1:10" x14ac:dyDescent="0.3">
      <c r="A38" s="8" t="s">
        <v>35</v>
      </c>
      <c r="B38" s="8" t="s">
        <v>36</v>
      </c>
      <c r="C38" s="9" t="s">
        <v>13</v>
      </c>
      <c r="D38" s="9" t="s">
        <v>14</v>
      </c>
      <c r="E38" s="9" t="s">
        <v>24</v>
      </c>
      <c r="F38" s="10">
        <v>45907</v>
      </c>
      <c r="G38" s="11">
        <v>0</v>
      </c>
      <c r="H38" s="11">
        <v>0.33333333333333331</v>
      </c>
      <c r="I38" s="12">
        <v>0.33333333333333331</v>
      </c>
      <c r="J38" s="13" t="s">
        <v>31</v>
      </c>
    </row>
    <row r="39" spans="1:10" x14ac:dyDescent="0.3">
      <c r="A39" s="8"/>
      <c r="B39" s="8"/>
      <c r="C39" s="9"/>
      <c r="D39" s="9"/>
      <c r="E39" s="9"/>
      <c r="F39" s="10"/>
      <c r="G39" s="11"/>
      <c r="H39" s="11"/>
      <c r="I39" s="12"/>
      <c r="J39" s="13"/>
    </row>
    <row r="40" spans="1:10" x14ac:dyDescent="0.3">
      <c r="A40" s="8" t="s">
        <v>38</v>
      </c>
      <c r="B40" s="8" t="s">
        <v>39</v>
      </c>
      <c r="C40" s="9" t="s">
        <v>13</v>
      </c>
      <c r="D40" s="9" t="s">
        <v>14</v>
      </c>
      <c r="E40" s="9" t="s">
        <v>24</v>
      </c>
      <c r="F40" s="10">
        <v>45905</v>
      </c>
      <c r="G40" s="11">
        <v>0.66666666666666663</v>
      </c>
      <c r="H40" s="11">
        <v>0</v>
      </c>
      <c r="I40" s="12">
        <v>0.33333333333333337</v>
      </c>
      <c r="J40" s="13" t="s">
        <v>17</v>
      </c>
    </row>
    <row r="41" spans="1:10" x14ac:dyDescent="0.3">
      <c r="A41" s="8" t="s">
        <v>38</v>
      </c>
      <c r="B41" s="8" t="s">
        <v>39</v>
      </c>
      <c r="C41" s="9" t="s">
        <v>13</v>
      </c>
      <c r="D41" s="9" t="s">
        <v>14</v>
      </c>
      <c r="E41" s="9" t="s">
        <v>24</v>
      </c>
      <c r="F41" s="10">
        <v>45906</v>
      </c>
      <c r="G41" s="11">
        <v>0</v>
      </c>
      <c r="H41" s="11">
        <v>0.33333333333333331</v>
      </c>
      <c r="I41" s="12">
        <v>0.33333333333333331</v>
      </c>
      <c r="J41" s="14" t="s">
        <v>31</v>
      </c>
    </row>
    <row r="42" spans="1:10" x14ac:dyDescent="0.3">
      <c r="A42" s="8" t="s">
        <v>38</v>
      </c>
      <c r="B42" s="8" t="s">
        <v>39</v>
      </c>
      <c r="C42" s="9" t="s">
        <v>13</v>
      </c>
      <c r="D42" s="9" t="s">
        <v>14</v>
      </c>
      <c r="E42" s="9" t="s">
        <v>24</v>
      </c>
      <c r="F42" s="10">
        <v>45908</v>
      </c>
      <c r="G42" s="11">
        <v>0.33333333333333331</v>
      </c>
      <c r="H42" s="11">
        <v>0.66666666666666663</v>
      </c>
      <c r="I42" s="12">
        <v>0.33333333333333331</v>
      </c>
      <c r="J42" s="14" t="s">
        <v>25</v>
      </c>
    </row>
    <row r="43" spans="1:10" x14ac:dyDescent="0.3">
      <c r="A43" s="8" t="s">
        <v>38</v>
      </c>
      <c r="B43" s="8" t="s">
        <v>39</v>
      </c>
      <c r="C43" s="9" t="s">
        <v>13</v>
      </c>
      <c r="D43" s="9" t="s">
        <v>14</v>
      </c>
      <c r="E43" s="9" t="s">
        <v>24</v>
      </c>
      <c r="F43" s="10">
        <v>45916</v>
      </c>
      <c r="G43" s="11">
        <v>0.33333333333333331</v>
      </c>
      <c r="H43" s="11">
        <v>0.66666666666666663</v>
      </c>
      <c r="I43" s="12">
        <v>0.33333333333333331</v>
      </c>
      <c r="J43" s="13" t="s">
        <v>31</v>
      </c>
    </row>
    <row r="44" spans="1:10" x14ac:dyDescent="0.3">
      <c r="A44" s="8"/>
      <c r="B44" s="8"/>
      <c r="C44" s="9"/>
      <c r="D44" s="9"/>
      <c r="E44" s="9"/>
      <c r="F44" s="10"/>
      <c r="G44" s="11"/>
      <c r="H44" s="11"/>
      <c r="I44" s="12"/>
      <c r="J44" s="13"/>
    </row>
    <row r="45" spans="1:10" x14ac:dyDescent="0.3">
      <c r="A45" s="8" t="s">
        <v>40</v>
      </c>
      <c r="B45" s="8" t="s">
        <v>41</v>
      </c>
      <c r="C45" s="9" t="s">
        <v>13</v>
      </c>
      <c r="D45" s="9" t="s">
        <v>14</v>
      </c>
      <c r="E45" s="9" t="s">
        <v>24</v>
      </c>
      <c r="F45" s="10">
        <v>45901</v>
      </c>
      <c r="G45" s="11">
        <v>0.66666666666666663</v>
      </c>
      <c r="H45" s="11">
        <v>0</v>
      </c>
      <c r="I45" s="12">
        <v>0.33333333333333331</v>
      </c>
      <c r="J45" s="14" t="s">
        <v>25</v>
      </c>
    </row>
    <row r="46" spans="1:10" x14ac:dyDescent="0.3">
      <c r="A46" s="8" t="s">
        <v>40</v>
      </c>
      <c r="B46" s="8" t="s">
        <v>41</v>
      </c>
      <c r="C46" s="9" t="s">
        <v>13</v>
      </c>
      <c r="D46" s="9" t="s">
        <v>14</v>
      </c>
      <c r="E46" s="9" t="s">
        <v>24</v>
      </c>
      <c r="F46" s="10">
        <v>45905</v>
      </c>
      <c r="G46" s="11">
        <v>0.33333333333333331</v>
      </c>
      <c r="H46" s="11">
        <v>0.66666666666666663</v>
      </c>
      <c r="I46" s="12">
        <v>0.33333333333333337</v>
      </c>
      <c r="J46" s="13" t="s">
        <v>17</v>
      </c>
    </row>
    <row r="47" spans="1:10" x14ac:dyDescent="0.3">
      <c r="A47" s="8" t="s">
        <v>40</v>
      </c>
      <c r="B47" s="8" t="s">
        <v>41</v>
      </c>
      <c r="C47" s="9" t="s">
        <v>13</v>
      </c>
      <c r="D47" s="9" t="s">
        <v>14</v>
      </c>
      <c r="E47" s="9" t="s">
        <v>24</v>
      </c>
      <c r="F47" s="10">
        <v>45902</v>
      </c>
      <c r="G47" s="11">
        <v>0.33333333333333331</v>
      </c>
      <c r="H47" s="11">
        <v>0.66666666666666663</v>
      </c>
      <c r="I47" s="12">
        <v>0.33333333333333331</v>
      </c>
      <c r="J47" s="14" t="s">
        <v>37</v>
      </c>
    </row>
    <row r="48" spans="1:10" x14ac:dyDescent="0.3">
      <c r="A48" s="8" t="s">
        <v>40</v>
      </c>
      <c r="B48" s="8" t="s">
        <v>41</v>
      </c>
      <c r="C48" s="9" t="s">
        <v>13</v>
      </c>
      <c r="D48" s="9" t="s">
        <v>14</v>
      </c>
      <c r="E48" s="9" t="s">
        <v>24</v>
      </c>
      <c r="F48" s="10">
        <v>45914</v>
      </c>
      <c r="G48" s="16">
        <v>0.33333333333333331</v>
      </c>
      <c r="H48" s="16">
        <v>0.66666666666666663</v>
      </c>
      <c r="I48" s="12">
        <v>0.33333333333333331</v>
      </c>
      <c r="J48" s="14" t="s">
        <v>31</v>
      </c>
    </row>
    <row r="49" spans="1:10" x14ac:dyDescent="0.3">
      <c r="A49" s="8"/>
      <c r="B49" s="8"/>
      <c r="C49" s="9"/>
      <c r="D49" s="9"/>
      <c r="E49" s="9"/>
      <c r="F49" s="10"/>
      <c r="G49" s="16"/>
      <c r="H49" s="16"/>
      <c r="I49" s="12"/>
      <c r="J49" s="14"/>
    </row>
    <row r="50" spans="1:10" x14ac:dyDescent="0.3">
      <c r="A50" s="8" t="s">
        <v>42</v>
      </c>
      <c r="B50" s="8" t="s">
        <v>43</v>
      </c>
      <c r="C50" s="9" t="s">
        <v>13</v>
      </c>
      <c r="D50" s="9" t="s">
        <v>14</v>
      </c>
      <c r="E50" s="9" t="s">
        <v>24</v>
      </c>
      <c r="F50" s="10">
        <v>45901</v>
      </c>
      <c r="G50" s="16">
        <v>0.66666666666666663</v>
      </c>
      <c r="H50" s="16">
        <v>0</v>
      </c>
      <c r="I50" s="12">
        <v>0.33333333333333337</v>
      </c>
      <c r="J50" s="14" t="s">
        <v>25</v>
      </c>
    </row>
    <row r="51" spans="1:10" x14ac:dyDescent="0.3">
      <c r="A51" s="8" t="s">
        <v>42</v>
      </c>
      <c r="B51" s="8" t="s">
        <v>43</v>
      </c>
      <c r="C51" s="9" t="s">
        <v>13</v>
      </c>
      <c r="D51" s="9" t="s">
        <v>14</v>
      </c>
      <c r="E51" s="9" t="s">
        <v>24</v>
      </c>
      <c r="F51" s="15">
        <v>45903</v>
      </c>
      <c r="G51" s="11">
        <v>0.33333333333333331</v>
      </c>
      <c r="H51" s="16">
        <v>0.66666666666666663</v>
      </c>
      <c r="I51" s="12">
        <v>0.33333333333333331</v>
      </c>
      <c r="J51" s="13" t="s">
        <v>37</v>
      </c>
    </row>
    <row r="52" spans="1:10" x14ac:dyDescent="0.3">
      <c r="A52" s="8" t="s">
        <v>42</v>
      </c>
      <c r="B52" s="8" t="s">
        <v>44</v>
      </c>
      <c r="C52" s="9" t="s">
        <v>13</v>
      </c>
      <c r="D52" s="9" t="s">
        <v>14</v>
      </c>
      <c r="E52" s="9" t="s">
        <v>24</v>
      </c>
      <c r="F52" s="15">
        <v>45905</v>
      </c>
      <c r="G52" s="11">
        <v>0.33333333333333331</v>
      </c>
      <c r="H52" s="16">
        <v>0.66666666666666663</v>
      </c>
      <c r="I52" s="12">
        <v>0.33333333333333331</v>
      </c>
      <c r="J52" s="13" t="s">
        <v>17</v>
      </c>
    </row>
    <row r="53" spans="1:10" x14ac:dyDescent="0.3">
      <c r="A53" s="8" t="s">
        <v>42</v>
      </c>
      <c r="B53" s="8" t="s">
        <v>44</v>
      </c>
      <c r="C53" s="9" t="s">
        <v>13</v>
      </c>
      <c r="D53" s="9" t="s">
        <v>14</v>
      </c>
      <c r="E53" s="9" t="s">
        <v>24</v>
      </c>
      <c r="F53" s="15">
        <v>45915</v>
      </c>
      <c r="G53" s="11">
        <v>0.33333333333333331</v>
      </c>
      <c r="H53" s="16">
        <v>0.66666666666666663</v>
      </c>
      <c r="I53" s="12">
        <v>0.33333333333333331</v>
      </c>
      <c r="J53" s="13" t="s">
        <v>31</v>
      </c>
    </row>
    <row r="59" spans="1:10" x14ac:dyDescent="0.3">
      <c r="A59" s="17" t="s">
        <v>45</v>
      </c>
      <c r="G59" s="2"/>
      <c r="H59" s="2"/>
      <c r="I59" s="3"/>
    </row>
    <row r="60" spans="1:10" x14ac:dyDescent="0.3">
      <c r="A60" s="18" t="s">
        <v>46</v>
      </c>
      <c r="B60" s="18"/>
      <c r="E60" s="20" t="s">
        <v>47</v>
      </c>
      <c r="F60" s="20"/>
      <c r="G60" s="20"/>
      <c r="H60" s="2"/>
      <c r="I60" s="3"/>
      <c r="J60" s="3" t="s">
        <v>48</v>
      </c>
    </row>
    <row r="61" spans="1:10" x14ac:dyDescent="0.3">
      <c r="A61" s="21" t="s">
        <v>49</v>
      </c>
      <c r="B61" s="21"/>
      <c r="E61" s="22" t="s">
        <v>49</v>
      </c>
      <c r="F61" s="22"/>
      <c r="G61" s="22"/>
      <c r="H61" s="2"/>
      <c r="I61" s="3"/>
      <c r="J61" t="s">
        <v>50</v>
      </c>
    </row>
    <row r="62" spans="1:10" x14ac:dyDescent="0.3">
      <c r="A62" t="s">
        <v>51</v>
      </c>
      <c r="E62" t="s">
        <v>52</v>
      </c>
      <c r="G62" s="2"/>
      <c r="H62" s="2"/>
      <c r="I62" s="3"/>
      <c r="J62" s="3" t="s">
        <v>53</v>
      </c>
    </row>
    <row r="67" spans="1:10" x14ac:dyDescent="0.3">
      <c r="A67" t="s">
        <v>41</v>
      </c>
      <c r="E67" s="23" t="s">
        <v>54</v>
      </c>
      <c r="F67" s="23"/>
      <c r="G67" s="23"/>
      <c r="H67" s="2"/>
      <c r="I67" s="3"/>
      <c r="J67" s="3" t="s">
        <v>55</v>
      </c>
    </row>
  </sheetData>
  <mergeCells count="5">
    <mergeCell ref="A2:J4"/>
    <mergeCell ref="E60:G60"/>
    <mergeCell ref="A61:B61"/>
    <mergeCell ref="E61:G61"/>
    <mergeCell ref="E67:G67"/>
  </mergeCells>
  <pageMargins left="0.7" right="0.7" top="0.75" bottom="0.75" header="0.3" footer="0.3"/>
  <pageSetup scale="51" fitToWidth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C3ABA-7DD1-4F2F-987D-909BFDBCD411}">
  <sheetPr codeName="Sheet5">
    <pageSetUpPr fitToPage="1"/>
  </sheetPr>
  <dimension ref="B1:AB85"/>
  <sheetViews>
    <sheetView tabSelected="1" topLeftCell="A17" zoomScale="62" workbookViewId="0">
      <selection activeCell="F41" sqref="F41"/>
    </sheetView>
  </sheetViews>
  <sheetFormatPr defaultColWidth="9.33203125" defaultRowHeight="13.8" x14ac:dyDescent="0.25"/>
  <cols>
    <col min="1" max="1" width="3" style="25" customWidth="1"/>
    <col min="2" max="2" width="14.33203125" style="25" customWidth="1"/>
    <col min="3" max="3" width="1.6640625" style="25" bestFit="1" customWidth="1"/>
    <col min="4" max="4" width="21.44140625" style="25" customWidth="1"/>
    <col min="5" max="5" width="1.6640625" style="25" bestFit="1" customWidth="1"/>
    <col min="6" max="6" width="9.6640625" style="25" customWidth="1"/>
    <col min="7" max="7" width="5.6640625" style="25" customWidth="1"/>
    <col min="8" max="8" width="9.6640625" style="25" customWidth="1"/>
    <col min="9" max="9" width="10.33203125" style="25" customWidth="1"/>
    <col min="10" max="10" width="25.6640625" style="25" customWidth="1"/>
    <col min="11" max="11" width="9" style="25" customWidth="1"/>
    <col min="12" max="12" width="7.33203125" style="25" customWidth="1"/>
    <col min="13" max="13" width="5.33203125" style="25" bestFit="1" customWidth="1"/>
    <col min="14" max="15" width="5.33203125" style="25" customWidth="1"/>
    <col min="16" max="16" width="10.6640625" style="25" customWidth="1"/>
    <col min="17" max="17" width="6.44140625" style="25" customWidth="1"/>
    <col min="18" max="18" width="17.6640625" style="25" customWidth="1"/>
    <col min="19" max="19" width="1.5546875" style="25" customWidth="1"/>
    <col min="20" max="20" width="9.6640625" style="25" customWidth="1"/>
    <col min="21" max="21" width="5.6640625" style="25" customWidth="1"/>
    <col min="22" max="22" width="9.6640625" style="25" customWidth="1"/>
    <col min="23" max="23" width="8.33203125" style="25" customWidth="1"/>
    <col min="24" max="25" width="9.33203125" style="25"/>
    <col min="26" max="27" width="13.6640625" style="25" customWidth="1"/>
    <col min="28" max="28" width="7.6640625" style="25" customWidth="1"/>
    <col min="29" max="29" width="3" style="25" customWidth="1"/>
    <col min="30" max="16384" width="9.33203125" style="25"/>
  </cols>
  <sheetData>
    <row r="1" spans="2:28" x14ac:dyDescent="0.25">
      <c r="B1" s="24" t="s">
        <v>56</v>
      </c>
      <c r="N1" s="26"/>
      <c r="O1" s="27"/>
    </row>
    <row r="2" spans="2:28" x14ac:dyDescent="0.25">
      <c r="N2" s="26"/>
      <c r="O2" s="27"/>
    </row>
    <row r="3" spans="2:28" x14ac:dyDescent="0.25">
      <c r="N3" s="26"/>
      <c r="O3" s="27"/>
    </row>
    <row r="4" spans="2:28" x14ac:dyDescent="0.25">
      <c r="N4" s="26"/>
      <c r="O4" s="27"/>
    </row>
    <row r="5" spans="2:28" ht="21" x14ac:dyDescent="0.4">
      <c r="B5" s="28" t="s">
        <v>57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  <c r="N5" s="26"/>
      <c r="O5" s="27"/>
      <c r="P5" s="31" t="s">
        <v>98</v>
      </c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</row>
    <row r="6" spans="2:28" ht="21" x14ac:dyDescent="0.4">
      <c r="B6" s="32" t="s">
        <v>58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4"/>
      <c r="N6" s="26"/>
      <c r="O6" s="27"/>
      <c r="P6" s="31" t="s">
        <v>59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</row>
    <row r="7" spans="2:28" x14ac:dyDescent="0.25">
      <c r="N7" s="26"/>
      <c r="O7" s="27"/>
    </row>
    <row r="8" spans="2:28" ht="15" x14ac:dyDescent="0.25">
      <c r="N8" s="26"/>
      <c r="O8" s="27"/>
      <c r="Q8" s="35"/>
      <c r="R8" s="35"/>
      <c r="S8" s="35"/>
      <c r="T8" s="35"/>
      <c r="W8" s="35"/>
      <c r="X8" s="35"/>
      <c r="Y8" s="35"/>
      <c r="Z8" s="35"/>
    </row>
    <row r="9" spans="2:28" ht="25.2" customHeight="1" x14ac:dyDescent="0.25">
      <c r="B9" s="36" t="s">
        <v>60</v>
      </c>
      <c r="C9" s="37" t="s">
        <v>61</v>
      </c>
      <c r="D9" s="36" t="s">
        <v>62</v>
      </c>
      <c r="E9" s="35"/>
      <c r="F9" s="35"/>
      <c r="G9" s="35"/>
      <c r="H9" s="35"/>
      <c r="I9" s="35"/>
      <c r="K9" s="35"/>
      <c r="N9" s="26"/>
      <c r="O9" s="27"/>
      <c r="P9" s="36" t="s">
        <v>63</v>
      </c>
      <c r="Q9" s="35"/>
      <c r="R9" s="35"/>
      <c r="S9" s="35"/>
      <c r="T9" s="35"/>
      <c r="U9" s="35"/>
      <c r="V9" s="35"/>
      <c r="W9" s="35"/>
      <c r="X9" s="35"/>
      <c r="Y9" s="35"/>
      <c r="Z9" s="35"/>
    </row>
    <row r="10" spans="2:28" ht="25.2" customHeight="1" x14ac:dyDescent="0.25">
      <c r="B10" s="35"/>
      <c r="C10" s="35"/>
      <c r="D10" s="36" t="s">
        <v>96</v>
      </c>
      <c r="E10" s="35"/>
      <c r="F10" s="35"/>
      <c r="G10" s="35"/>
      <c r="H10" s="35"/>
      <c r="I10" s="35"/>
      <c r="K10" s="35"/>
      <c r="N10" s="26"/>
      <c r="O10" s="27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 spans="2:28" ht="25.2" customHeight="1" x14ac:dyDescent="0.25">
      <c r="B11" s="35"/>
      <c r="C11" s="35"/>
      <c r="D11" s="35"/>
      <c r="E11" s="35"/>
      <c r="F11" s="35"/>
      <c r="G11" s="35"/>
      <c r="H11" s="35"/>
      <c r="I11" s="35"/>
      <c r="K11" s="35"/>
      <c r="N11" s="26"/>
      <c r="O11" s="27"/>
      <c r="P11" s="36" t="s">
        <v>64</v>
      </c>
      <c r="Q11" s="35"/>
      <c r="R11" s="35"/>
      <c r="S11" s="37" t="s">
        <v>61</v>
      </c>
      <c r="T11" s="38" t="str">
        <f>F14</f>
        <v>Hatari Tamata</v>
      </c>
      <c r="U11" s="39"/>
      <c r="V11" s="39"/>
      <c r="W11" s="39"/>
      <c r="X11" s="40"/>
      <c r="Y11" s="35"/>
      <c r="Z11" s="35"/>
    </row>
    <row r="12" spans="2:28" ht="25.2" customHeight="1" x14ac:dyDescent="0.25">
      <c r="B12" s="36" t="s">
        <v>65</v>
      </c>
      <c r="C12" s="35"/>
      <c r="D12" s="35"/>
      <c r="E12" s="35"/>
      <c r="F12" s="35"/>
      <c r="G12" s="35"/>
      <c r="H12" s="35"/>
      <c r="I12" s="35"/>
      <c r="K12" s="35"/>
      <c r="N12" s="26"/>
      <c r="O12" s="27"/>
      <c r="P12" s="36" t="s">
        <v>66</v>
      </c>
      <c r="Q12" s="35"/>
      <c r="R12" s="35"/>
      <c r="S12" s="37" t="s">
        <v>61</v>
      </c>
      <c r="T12" s="41" t="str">
        <f>F15</f>
        <v>XYZ093-115331</v>
      </c>
      <c r="U12" s="42"/>
      <c r="V12" s="42"/>
      <c r="W12" s="42"/>
      <c r="X12" s="43"/>
      <c r="Y12" s="35"/>
      <c r="Z12" s="35"/>
    </row>
    <row r="13" spans="2:28" ht="25.2" customHeight="1" x14ac:dyDescent="0.25">
      <c r="B13" s="35"/>
      <c r="C13" s="35"/>
      <c r="D13" s="35"/>
      <c r="E13" s="35"/>
      <c r="F13" s="35"/>
      <c r="G13" s="35"/>
      <c r="H13" s="35"/>
      <c r="I13" s="35"/>
      <c r="K13" s="35"/>
      <c r="N13" s="26"/>
      <c r="O13" s="27"/>
      <c r="P13" s="36" t="s">
        <v>67</v>
      </c>
      <c r="Q13" s="35"/>
      <c r="R13" s="35"/>
      <c r="S13" s="37" t="s">
        <v>61</v>
      </c>
      <c r="T13" s="41" t="str">
        <f>F16</f>
        <v>MOR I SUMBAGUT</v>
      </c>
      <c r="U13" s="42"/>
      <c r="V13" s="42"/>
      <c r="W13" s="42"/>
      <c r="X13" s="43"/>
      <c r="Y13" s="35"/>
      <c r="Z13" s="35"/>
    </row>
    <row r="14" spans="2:28" ht="25.2" customHeight="1" x14ac:dyDescent="0.25">
      <c r="B14" s="36" t="s">
        <v>64</v>
      </c>
      <c r="C14" s="35"/>
      <c r="D14" s="35"/>
      <c r="E14" s="37" t="s">
        <v>61</v>
      </c>
      <c r="F14" s="44" t="s">
        <v>100</v>
      </c>
      <c r="G14" s="45"/>
      <c r="H14" s="45"/>
      <c r="I14" s="45"/>
      <c r="J14" s="45"/>
      <c r="K14" s="45"/>
      <c r="L14" s="45"/>
      <c r="M14" s="46"/>
      <c r="N14" s="26"/>
      <c r="O14" s="27"/>
      <c r="P14" s="36" t="s">
        <v>68</v>
      </c>
      <c r="Q14" s="35"/>
      <c r="R14" s="35"/>
      <c r="S14" s="37" t="s">
        <v>61</v>
      </c>
      <c r="T14" s="41" t="str">
        <f>F17</f>
        <v>Security Harian</v>
      </c>
      <c r="U14" s="42"/>
      <c r="V14" s="42"/>
      <c r="W14" s="42"/>
      <c r="X14" s="43"/>
      <c r="Y14" s="35"/>
      <c r="Z14" s="35"/>
    </row>
    <row r="15" spans="2:28" ht="25.2" customHeight="1" x14ac:dyDescent="0.25">
      <c r="B15" s="36" t="s">
        <v>66</v>
      </c>
      <c r="C15" s="35"/>
      <c r="D15" s="35"/>
      <c r="E15" s="37" t="s">
        <v>61</v>
      </c>
      <c r="F15" s="47" t="s">
        <v>99</v>
      </c>
      <c r="G15" s="48"/>
      <c r="H15" s="48"/>
      <c r="I15" s="48"/>
      <c r="J15" s="48"/>
      <c r="K15" s="48"/>
      <c r="L15" s="48"/>
      <c r="M15" s="49"/>
      <c r="N15" s="26"/>
      <c r="O15" s="27"/>
      <c r="P15" s="36"/>
      <c r="Q15" s="35"/>
      <c r="R15" s="35"/>
      <c r="S15" s="35"/>
      <c r="T15" s="50"/>
      <c r="U15" s="50"/>
      <c r="V15" s="50"/>
      <c r="W15" s="50"/>
      <c r="X15" s="50"/>
      <c r="Y15" s="35"/>
      <c r="Z15" s="35"/>
    </row>
    <row r="16" spans="2:28" ht="25.2" customHeight="1" x14ac:dyDescent="0.25">
      <c r="B16" s="36" t="s">
        <v>67</v>
      </c>
      <c r="C16" s="35"/>
      <c r="D16" s="35"/>
      <c r="E16" s="37" t="s">
        <v>61</v>
      </c>
      <c r="F16" s="47" t="s">
        <v>69</v>
      </c>
      <c r="G16" s="48"/>
      <c r="H16" s="48"/>
      <c r="I16" s="48"/>
      <c r="J16" s="48"/>
      <c r="K16" s="48"/>
      <c r="L16" s="48"/>
      <c r="M16" s="49"/>
      <c r="N16" s="26"/>
      <c r="O16" s="27"/>
      <c r="P16" s="36" t="s">
        <v>70</v>
      </c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 spans="2:28" ht="25.2" customHeight="1" x14ac:dyDescent="0.25">
      <c r="B17" s="36" t="s">
        <v>68</v>
      </c>
      <c r="C17" s="35"/>
      <c r="D17" s="35"/>
      <c r="E17" s="37" t="s">
        <v>61</v>
      </c>
      <c r="F17" s="47" t="s">
        <v>71</v>
      </c>
      <c r="G17" s="48"/>
      <c r="H17" s="48"/>
      <c r="I17" s="48"/>
      <c r="J17" s="48"/>
      <c r="K17" s="48"/>
      <c r="L17" s="48"/>
      <c r="M17" s="49"/>
      <c r="N17" s="26"/>
      <c r="O17" s="27"/>
      <c r="P17" s="36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 spans="2:28" ht="25.2" customHeight="1" x14ac:dyDescent="0.25">
      <c r="B18" s="36"/>
      <c r="C18" s="35"/>
      <c r="D18" s="35"/>
      <c r="E18" s="51"/>
      <c r="F18" s="50"/>
      <c r="G18" s="50"/>
      <c r="H18" s="50"/>
      <c r="I18" s="50"/>
      <c r="J18" s="52"/>
      <c r="K18" s="50"/>
      <c r="L18" s="52"/>
      <c r="M18" s="52"/>
      <c r="N18" s="26"/>
      <c r="O18" s="27"/>
      <c r="P18" s="36" t="s">
        <v>72</v>
      </c>
      <c r="Q18" s="35"/>
      <c r="R18" s="35"/>
      <c r="S18" s="37" t="s">
        <v>61</v>
      </c>
      <c r="T18" s="53" t="str">
        <f>F22</f>
        <v>Sabtu, 04 Juli 2026</v>
      </c>
      <c r="U18" s="39"/>
      <c r="V18" s="39"/>
      <c r="W18" s="39"/>
      <c r="X18" s="40"/>
      <c r="Y18" s="35"/>
      <c r="Z18" s="35"/>
    </row>
    <row r="19" spans="2:28" ht="25.2" customHeight="1" x14ac:dyDescent="0.25">
      <c r="B19" s="36"/>
      <c r="C19" s="35"/>
      <c r="D19" s="35"/>
      <c r="E19" s="35"/>
      <c r="F19" s="35"/>
      <c r="G19" s="35"/>
      <c r="H19" s="35"/>
      <c r="I19" s="35"/>
      <c r="K19" s="35"/>
      <c r="N19" s="26"/>
      <c r="O19" s="27"/>
      <c r="P19" s="36" t="s">
        <v>73</v>
      </c>
      <c r="Q19" s="35"/>
      <c r="R19" s="35"/>
      <c r="S19" s="37" t="s">
        <v>61</v>
      </c>
      <c r="T19" s="54">
        <f>F23</f>
        <v>0.33333333333333331</v>
      </c>
      <c r="U19" s="55" t="str">
        <f>G23</f>
        <v xml:space="preserve"> s/d </v>
      </c>
      <c r="V19" s="56">
        <f>H23</f>
        <v>0.66666666666666663</v>
      </c>
      <c r="W19" s="55" t="str">
        <f>I23</f>
        <v>WIB</v>
      </c>
      <c r="X19" s="57"/>
      <c r="Y19" s="35"/>
      <c r="Z19" s="58" t="s">
        <v>74</v>
      </c>
      <c r="AA19" s="59">
        <f>L23</f>
        <v>0.33333333333333331</v>
      </c>
      <c r="AB19" s="37" t="s">
        <v>75</v>
      </c>
    </row>
    <row r="20" spans="2:28" ht="25.2" customHeight="1" x14ac:dyDescent="0.25">
      <c r="B20" s="36" t="s">
        <v>70</v>
      </c>
      <c r="C20" s="35"/>
      <c r="D20" s="35"/>
      <c r="E20" s="35"/>
      <c r="F20" s="35"/>
      <c r="G20" s="35"/>
      <c r="H20" s="35"/>
      <c r="I20" s="35"/>
      <c r="K20" s="35"/>
      <c r="N20" s="26"/>
      <c r="O20" s="27"/>
      <c r="P20" s="36" t="s">
        <v>76</v>
      </c>
      <c r="Q20" s="35"/>
      <c r="R20" s="35"/>
      <c r="S20" s="37" t="s">
        <v>61</v>
      </c>
      <c r="T20" s="41" t="str">
        <f>F24</f>
        <v>Kantor Cabang Ops Barat</v>
      </c>
      <c r="U20" s="42"/>
      <c r="V20" s="42"/>
      <c r="W20" s="42"/>
      <c r="X20" s="43"/>
      <c r="Y20" s="35"/>
      <c r="Z20" s="35"/>
      <c r="AA20" s="52"/>
    </row>
    <row r="21" spans="2:28" ht="25.2" customHeight="1" x14ac:dyDescent="0.25">
      <c r="B21" s="36"/>
      <c r="C21" s="35"/>
      <c r="D21" s="35"/>
      <c r="E21" s="35"/>
      <c r="F21" s="35"/>
      <c r="G21" s="35"/>
      <c r="H21" s="35"/>
      <c r="I21" s="35"/>
      <c r="K21" s="35"/>
      <c r="N21" s="26"/>
      <c r="O21" s="27"/>
      <c r="P21" s="36" t="s">
        <v>77</v>
      </c>
      <c r="Q21" s="35"/>
      <c r="R21" s="35"/>
      <c r="S21" s="37" t="s">
        <v>61</v>
      </c>
      <c r="T21" s="41" t="str">
        <f>F25</f>
        <v>Perusahaan</v>
      </c>
      <c r="U21" s="42"/>
      <c r="V21" s="42"/>
      <c r="W21" s="42"/>
      <c r="X21" s="43"/>
      <c r="Y21" s="35"/>
      <c r="Z21" s="35"/>
    </row>
    <row r="22" spans="2:28" ht="25.2" customHeight="1" x14ac:dyDescent="0.25">
      <c r="B22" s="36" t="s">
        <v>72</v>
      </c>
      <c r="C22" s="35"/>
      <c r="D22" s="35"/>
      <c r="E22" s="37" t="s">
        <v>61</v>
      </c>
      <c r="F22" s="60" t="s">
        <v>78</v>
      </c>
      <c r="G22" s="61"/>
      <c r="H22" s="61"/>
      <c r="I22" s="62"/>
      <c r="K22" s="35"/>
      <c r="N22" s="26"/>
      <c r="O22" s="27"/>
      <c r="P22" s="36" t="s">
        <v>79</v>
      </c>
      <c r="Q22" s="35"/>
      <c r="R22" s="35"/>
      <c r="S22" s="37" t="s">
        <v>61</v>
      </c>
      <c r="T22" s="63" t="str">
        <f>F26</f>
        <v>Bantuan Personil Jaga</v>
      </c>
      <c r="U22" s="64"/>
      <c r="V22" s="64"/>
      <c r="W22" s="64"/>
      <c r="X22" s="64"/>
      <c r="Y22" s="64"/>
      <c r="Z22" s="64"/>
      <c r="AA22" s="64"/>
      <c r="AB22" s="65"/>
    </row>
    <row r="23" spans="2:28" ht="25.2" customHeight="1" x14ac:dyDescent="0.25">
      <c r="B23" s="36" t="s">
        <v>80</v>
      </c>
      <c r="C23" s="35"/>
      <c r="D23" s="35"/>
      <c r="E23" s="37" t="s">
        <v>61</v>
      </c>
      <c r="F23" s="66">
        <v>0.33333333333333331</v>
      </c>
      <c r="G23" s="56" t="s">
        <v>56</v>
      </c>
      <c r="H23" s="67">
        <v>0.66666666666666663</v>
      </c>
      <c r="I23" s="68" t="s">
        <v>81</v>
      </c>
      <c r="K23" s="36" t="s">
        <v>74</v>
      </c>
      <c r="L23" s="59">
        <f>H23-F23+IF(F23&gt;H23,1)</f>
        <v>0.33333333333333331</v>
      </c>
      <c r="M23" s="37" t="s">
        <v>75</v>
      </c>
      <c r="N23" s="26"/>
      <c r="O23" s="27"/>
      <c r="P23" s="36"/>
      <c r="Q23" s="35"/>
      <c r="R23" s="35"/>
      <c r="S23" s="35"/>
      <c r="T23" s="63"/>
      <c r="U23" s="64"/>
      <c r="V23" s="64"/>
      <c r="W23" s="64"/>
      <c r="X23" s="64"/>
      <c r="Y23" s="64"/>
      <c r="Z23" s="64"/>
      <c r="AA23" s="64"/>
      <c r="AB23" s="65"/>
    </row>
    <row r="24" spans="2:28" ht="25.2" customHeight="1" x14ac:dyDescent="0.25">
      <c r="B24" s="36" t="s">
        <v>76</v>
      </c>
      <c r="C24" s="35"/>
      <c r="D24" s="35"/>
      <c r="E24" s="37" t="s">
        <v>61</v>
      </c>
      <c r="F24" s="47" t="s">
        <v>103</v>
      </c>
      <c r="G24" s="48"/>
      <c r="H24" s="48"/>
      <c r="I24" s="49"/>
      <c r="K24" s="35"/>
      <c r="L24" s="52"/>
      <c r="N24" s="26"/>
      <c r="O24" s="27"/>
      <c r="P24" s="36"/>
      <c r="Q24" s="35"/>
      <c r="R24" s="35"/>
      <c r="S24" s="35"/>
      <c r="T24" s="69"/>
      <c r="U24" s="70"/>
      <c r="V24" s="70"/>
      <c r="W24" s="70"/>
      <c r="X24" s="70"/>
      <c r="Y24" s="70"/>
      <c r="Z24" s="70"/>
      <c r="AA24" s="70"/>
      <c r="AB24" s="71"/>
    </row>
    <row r="25" spans="2:28" ht="25.2" customHeight="1" x14ac:dyDescent="0.25">
      <c r="B25" s="36" t="s">
        <v>77</v>
      </c>
      <c r="C25" s="35"/>
      <c r="D25" s="35"/>
      <c r="E25" s="37" t="s">
        <v>61</v>
      </c>
      <c r="F25" s="72" t="s">
        <v>82</v>
      </c>
      <c r="G25" s="73"/>
      <c r="H25" s="73"/>
      <c r="I25" s="74"/>
      <c r="J25" s="75"/>
      <c r="K25" s="76"/>
      <c r="L25" s="75"/>
      <c r="M25" s="75"/>
      <c r="N25" s="26"/>
      <c r="O25" s="27"/>
      <c r="P25" s="36"/>
      <c r="Q25" s="35"/>
      <c r="R25" s="35"/>
      <c r="S25" s="35"/>
      <c r="T25" s="50"/>
      <c r="U25" s="50"/>
      <c r="V25" s="50"/>
      <c r="W25" s="50"/>
      <c r="X25" s="50"/>
      <c r="Y25" s="50"/>
      <c r="Z25" s="50"/>
      <c r="AA25" s="52"/>
      <c r="AB25" s="52"/>
    </row>
    <row r="26" spans="2:28" ht="25.2" customHeight="1" x14ac:dyDescent="0.25">
      <c r="B26" s="36" t="s">
        <v>79</v>
      </c>
      <c r="C26" s="35"/>
      <c r="D26" s="35"/>
      <c r="E26" s="77" t="s">
        <v>61</v>
      </c>
      <c r="F26" s="78" t="s">
        <v>83</v>
      </c>
      <c r="G26" s="79"/>
      <c r="H26" s="79"/>
      <c r="I26" s="79"/>
      <c r="J26" s="79"/>
      <c r="K26" s="79"/>
      <c r="L26" s="79"/>
      <c r="M26" s="80"/>
      <c r="N26" s="81"/>
      <c r="O26" s="27"/>
      <c r="P26" s="36"/>
      <c r="Q26" s="35"/>
      <c r="R26" s="35"/>
      <c r="S26" s="35"/>
      <c r="T26" s="35"/>
      <c r="U26" s="35"/>
      <c r="V26" s="35"/>
      <c r="W26" s="35"/>
      <c r="X26" s="35"/>
      <c r="Y26" s="35"/>
      <c r="Z26" s="82" t="str">
        <f>I32</f>
        <v>Dumai,</v>
      </c>
      <c r="AA26" s="83">
        <v>46234</v>
      </c>
      <c r="AB26" s="84"/>
    </row>
    <row r="27" spans="2:28" ht="25.2" customHeight="1" x14ac:dyDescent="0.25">
      <c r="B27" s="35"/>
      <c r="C27" s="35"/>
      <c r="D27" s="35"/>
      <c r="E27" s="85"/>
      <c r="F27" s="86"/>
      <c r="G27" s="87"/>
      <c r="H27" s="87"/>
      <c r="I27" s="87"/>
      <c r="J27" s="87"/>
      <c r="K27" s="87"/>
      <c r="L27" s="87"/>
      <c r="M27" s="88"/>
      <c r="N27" s="81"/>
      <c r="O27" s="27"/>
      <c r="P27" s="36" t="s">
        <v>84</v>
      </c>
      <c r="Q27" s="35"/>
      <c r="R27" s="35"/>
      <c r="S27" s="35"/>
      <c r="T27" s="35"/>
      <c r="U27" s="50"/>
      <c r="V27" s="50"/>
      <c r="W27" s="35"/>
      <c r="X27" s="35"/>
      <c r="Y27" s="35"/>
      <c r="Z27" s="36" t="s">
        <v>48</v>
      </c>
    </row>
    <row r="28" spans="2:28" ht="25.2" customHeight="1" x14ac:dyDescent="0.25">
      <c r="B28" s="35"/>
      <c r="C28" s="35"/>
      <c r="D28" s="35"/>
      <c r="E28" s="85"/>
      <c r="F28" s="86"/>
      <c r="G28" s="87"/>
      <c r="H28" s="87"/>
      <c r="I28" s="87"/>
      <c r="J28" s="87"/>
      <c r="K28" s="87"/>
      <c r="L28" s="87"/>
      <c r="M28" s="88"/>
      <c r="N28" s="81"/>
      <c r="O28" s="27"/>
      <c r="P28" s="51"/>
      <c r="Q28" s="35"/>
      <c r="R28" s="35"/>
      <c r="S28" s="35"/>
      <c r="T28" s="35"/>
      <c r="U28" s="35"/>
      <c r="V28" s="35"/>
      <c r="W28" s="35"/>
      <c r="X28" s="35"/>
      <c r="Y28" s="35"/>
      <c r="Z28" s="36" t="s">
        <v>85</v>
      </c>
    </row>
    <row r="29" spans="2:28" ht="25.2" customHeight="1" x14ac:dyDescent="0.25">
      <c r="B29" s="35"/>
      <c r="C29" s="35"/>
      <c r="D29" s="35"/>
      <c r="E29" s="85"/>
      <c r="F29" s="86"/>
      <c r="G29" s="87"/>
      <c r="H29" s="87"/>
      <c r="I29" s="87"/>
      <c r="J29" s="87"/>
      <c r="K29" s="87"/>
      <c r="L29" s="87"/>
      <c r="M29" s="88"/>
      <c r="N29" s="81"/>
      <c r="O29" s="27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89"/>
      <c r="AA29" s="90"/>
    </row>
    <row r="30" spans="2:28" ht="25.2" customHeight="1" x14ac:dyDescent="0.25">
      <c r="B30" s="35"/>
      <c r="C30" s="35"/>
      <c r="D30" s="35"/>
      <c r="E30" s="85"/>
      <c r="F30" s="91"/>
      <c r="G30" s="92"/>
      <c r="H30" s="92"/>
      <c r="I30" s="92"/>
      <c r="J30" s="92"/>
      <c r="K30" s="92"/>
      <c r="L30" s="92"/>
      <c r="M30" s="93"/>
      <c r="N30" s="81"/>
      <c r="O30" s="27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94"/>
      <c r="AA30" s="95"/>
    </row>
    <row r="31" spans="2:28" ht="25.2" customHeight="1" x14ac:dyDescent="0.25">
      <c r="B31" s="35"/>
      <c r="C31" s="35"/>
      <c r="D31" s="35"/>
      <c r="E31" s="35"/>
      <c r="F31" s="50"/>
      <c r="G31" s="50"/>
      <c r="H31" s="50"/>
      <c r="I31" s="52"/>
      <c r="J31" s="52"/>
      <c r="K31" s="52"/>
      <c r="L31" s="52"/>
      <c r="M31" s="52"/>
      <c r="N31" s="26"/>
      <c r="O31" s="27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96"/>
      <c r="AA31" s="97"/>
    </row>
    <row r="32" spans="2:28" ht="25.2" customHeight="1" x14ac:dyDescent="0.25">
      <c r="B32" s="36" t="s">
        <v>86</v>
      </c>
      <c r="C32" s="35"/>
      <c r="D32" s="35"/>
      <c r="E32" s="35"/>
      <c r="F32" s="35"/>
      <c r="G32" s="35"/>
      <c r="H32" s="35"/>
      <c r="I32" s="98" t="s">
        <v>87</v>
      </c>
      <c r="J32" s="99">
        <v>46206</v>
      </c>
      <c r="N32" s="26"/>
      <c r="O32" s="27"/>
      <c r="P32" s="100" t="str">
        <f>T11</f>
        <v>Hatari Tamata</v>
      </c>
      <c r="Q32" s="101"/>
      <c r="R32" s="102"/>
      <c r="S32" s="35"/>
      <c r="U32" s="35"/>
      <c r="V32" s="35"/>
      <c r="W32" s="35"/>
      <c r="X32" s="35"/>
      <c r="Y32" s="35"/>
      <c r="Z32" s="100" t="s">
        <v>88</v>
      </c>
      <c r="AA32" s="101"/>
      <c r="AB32" s="102"/>
    </row>
    <row r="33" spans="2:28" ht="25.2" customHeight="1" x14ac:dyDescent="0.25">
      <c r="B33" s="103" t="s">
        <v>89</v>
      </c>
      <c r="C33" s="35"/>
      <c r="D33" s="35"/>
      <c r="E33" s="35"/>
      <c r="F33" s="35"/>
      <c r="G33" s="35"/>
      <c r="H33" s="35"/>
      <c r="I33" s="98" t="s">
        <v>97</v>
      </c>
      <c r="N33" s="26"/>
      <c r="O33" s="104"/>
      <c r="P33" s="105" t="str">
        <f>T11&amp;" "&amp;T12&amp;" "&amp;T13&amp;" "&amp;T20&amp;" "&amp;T22</f>
        <v>Hatari Tamata XYZ093-115331 MOR I SUMBAGUT Kantor Cabang Ops Barat Bantuan Personil Jaga</v>
      </c>
      <c r="Q33" s="52"/>
      <c r="R33" s="52"/>
      <c r="U33" s="35"/>
      <c r="V33" s="35"/>
      <c r="Z33" s="52"/>
      <c r="AA33" s="52"/>
      <c r="AB33" s="52"/>
    </row>
    <row r="34" spans="2:28" ht="15" x14ac:dyDescent="0.25">
      <c r="B34" s="35"/>
      <c r="C34" s="35"/>
      <c r="D34" s="35"/>
      <c r="E34" s="35"/>
      <c r="F34" s="35"/>
      <c r="G34" s="35"/>
      <c r="H34" s="35"/>
      <c r="I34" s="35"/>
      <c r="N34" s="26"/>
      <c r="O34" s="27"/>
      <c r="U34" s="35"/>
      <c r="V34" s="35"/>
    </row>
    <row r="35" spans="2:28" ht="24.75" customHeight="1" x14ac:dyDescent="0.25">
      <c r="B35" s="35"/>
      <c r="C35" s="35"/>
      <c r="D35" s="35"/>
      <c r="E35" s="35"/>
      <c r="F35" s="35"/>
      <c r="G35" s="35"/>
      <c r="H35" s="35"/>
      <c r="I35" s="35"/>
      <c r="N35" s="26"/>
      <c r="O35" s="106"/>
      <c r="P35" s="107" t="s">
        <v>90</v>
      </c>
      <c r="Q35" s="76"/>
      <c r="R35" s="76"/>
      <c r="S35" s="76"/>
      <c r="T35" s="76"/>
      <c r="U35" s="76"/>
      <c r="V35" s="76"/>
      <c r="W35" s="35"/>
      <c r="X35" s="107" t="s">
        <v>91</v>
      </c>
      <c r="Y35" s="76"/>
      <c r="Z35" s="76"/>
      <c r="AA35" s="76"/>
      <c r="AB35" s="76"/>
    </row>
    <row r="36" spans="2:28" ht="26.25" customHeight="1" x14ac:dyDescent="0.25">
      <c r="B36" s="35"/>
      <c r="C36" s="35"/>
      <c r="D36" s="35"/>
      <c r="E36" s="35"/>
      <c r="F36" s="35"/>
      <c r="G36" s="35"/>
      <c r="H36" s="35"/>
      <c r="I36" s="35"/>
      <c r="N36" s="26"/>
      <c r="O36" s="108"/>
      <c r="P36" s="109" t="s">
        <v>92</v>
      </c>
      <c r="Q36" s="109"/>
      <c r="R36" s="110" t="s">
        <v>93</v>
      </c>
      <c r="S36" s="111"/>
      <c r="T36" s="109" t="s">
        <v>94</v>
      </c>
      <c r="U36" s="109"/>
      <c r="V36" s="109"/>
      <c r="W36" s="112"/>
      <c r="X36" s="113" t="s">
        <v>92</v>
      </c>
      <c r="Y36" s="113"/>
      <c r="Z36" s="114" t="s">
        <v>93</v>
      </c>
      <c r="AA36" s="113" t="s">
        <v>94</v>
      </c>
      <c r="AB36" s="113"/>
    </row>
    <row r="37" spans="2:28" ht="43.5" customHeight="1" x14ac:dyDescent="0.25">
      <c r="B37" s="35"/>
      <c r="C37" s="35"/>
      <c r="D37" s="35"/>
      <c r="E37" s="35"/>
      <c r="F37" s="35"/>
      <c r="G37" s="35"/>
      <c r="H37" s="35"/>
      <c r="I37" s="35"/>
      <c r="N37" s="26"/>
      <c r="O37" s="108"/>
      <c r="P37" s="115" t="s">
        <v>7</v>
      </c>
      <c r="Q37" s="115"/>
      <c r="R37" s="116">
        <f>F23</f>
        <v>0.33333333333333331</v>
      </c>
      <c r="S37" s="117"/>
      <c r="T37" s="118"/>
      <c r="U37" s="118"/>
      <c r="V37" s="118"/>
      <c r="W37" s="112"/>
      <c r="X37" s="115" t="s">
        <v>7</v>
      </c>
      <c r="Y37" s="115"/>
      <c r="Z37" s="119"/>
      <c r="AA37" s="118"/>
      <c r="AB37" s="118"/>
    </row>
    <row r="38" spans="2:28" ht="47.25" customHeight="1" x14ac:dyDescent="0.25">
      <c r="B38" s="120" t="s">
        <v>102</v>
      </c>
      <c r="C38" s="121"/>
      <c r="D38" s="121"/>
      <c r="E38" s="121"/>
      <c r="F38" s="122"/>
      <c r="G38" s="35"/>
      <c r="H38" s="35"/>
      <c r="I38" s="44" t="s">
        <v>101</v>
      </c>
      <c r="J38" s="45"/>
      <c r="K38" s="45"/>
      <c r="L38" s="45"/>
      <c r="M38" s="46"/>
      <c r="N38" s="26"/>
      <c r="O38" s="108"/>
      <c r="P38" s="115" t="s">
        <v>8</v>
      </c>
      <c r="Q38" s="115"/>
      <c r="R38" s="116">
        <f>H23</f>
        <v>0.66666666666666663</v>
      </c>
      <c r="S38" s="117"/>
      <c r="T38" s="118"/>
      <c r="U38" s="118"/>
      <c r="V38" s="118"/>
      <c r="W38" s="112"/>
      <c r="X38" s="115" t="s">
        <v>8</v>
      </c>
      <c r="Y38" s="115"/>
      <c r="Z38" s="119"/>
      <c r="AA38" s="118"/>
      <c r="AB38" s="118"/>
    </row>
    <row r="39" spans="2:28" x14ac:dyDescent="0.25">
      <c r="B39" s="52"/>
      <c r="C39" s="52"/>
      <c r="D39" s="52"/>
      <c r="E39" s="52"/>
      <c r="F39" s="52"/>
      <c r="I39" s="52"/>
      <c r="J39" s="52"/>
      <c r="K39" s="52"/>
      <c r="L39" s="52"/>
      <c r="M39" s="52"/>
      <c r="O39" s="52"/>
      <c r="P39" s="52"/>
      <c r="Q39" s="52"/>
      <c r="R39" s="52"/>
      <c r="S39" s="52"/>
      <c r="T39" s="52"/>
      <c r="U39" s="52"/>
      <c r="V39" s="52"/>
      <c r="X39" s="52" t="s">
        <v>95</v>
      </c>
      <c r="Y39" s="52"/>
      <c r="Z39" s="52"/>
      <c r="AA39" s="52"/>
      <c r="AB39" s="52"/>
    </row>
    <row r="84" s="25" customFormat="1" ht="30" customHeight="1" x14ac:dyDescent="0.25"/>
    <row r="85" s="25" customFormat="1" ht="30" customHeight="1" x14ac:dyDescent="0.25"/>
  </sheetData>
  <mergeCells count="41">
    <mergeCell ref="AA38:AB38"/>
    <mergeCell ref="B38:F38"/>
    <mergeCell ref="I38:M38"/>
    <mergeCell ref="P38:Q38"/>
    <mergeCell ref="R38:S38"/>
    <mergeCell ref="T38:V38"/>
    <mergeCell ref="X38:Y38"/>
    <mergeCell ref="P36:Q36"/>
    <mergeCell ref="R36:S36"/>
    <mergeCell ref="T36:V36"/>
    <mergeCell ref="X36:Y36"/>
    <mergeCell ref="AA36:AB36"/>
    <mergeCell ref="P37:Q37"/>
    <mergeCell ref="R37:S37"/>
    <mergeCell ref="T37:V37"/>
    <mergeCell ref="X37:Y37"/>
    <mergeCell ref="AA37:AB37"/>
    <mergeCell ref="F25:I25"/>
    <mergeCell ref="F26:M30"/>
    <mergeCell ref="AA26:AB26"/>
    <mergeCell ref="Z29:AA31"/>
    <mergeCell ref="P32:R32"/>
    <mergeCell ref="Z32:AB32"/>
    <mergeCell ref="T18:X18"/>
    <mergeCell ref="T20:X20"/>
    <mergeCell ref="T21:X21"/>
    <mergeCell ref="F22:I22"/>
    <mergeCell ref="T22:AB24"/>
    <mergeCell ref="F24:I24"/>
    <mergeCell ref="T13:X13"/>
    <mergeCell ref="F14:M14"/>
    <mergeCell ref="T14:X14"/>
    <mergeCell ref="F15:M15"/>
    <mergeCell ref="F16:M16"/>
    <mergeCell ref="F17:M17"/>
    <mergeCell ref="B5:M5"/>
    <mergeCell ref="P5:AB5"/>
    <mergeCell ref="B6:M6"/>
    <mergeCell ref="P6:AB6"/>
    <mergeCell ref="T11:X11"/>
    <mergeCell ref="T12:X12"/>
  </mergeCells>
  <dataValidations count="1">
    <dataValidation type="list" allowBlank="1" showInputMessage="1" showErrorMessage="1" sqref="I23" xr:uid="{23088F42-F467-418D-BEA8-F866FEBE6E20}">
      <formula1>"WIB,WIT,WITA"</formula1>
    </dataValidation>
  </dataValidations>
  <pageMargins left="0.70866141732283472" right="0.70866141732283472" top="0.74803149606299213" bottom="0.74803149606299213" header="0.31496062992125984" footer="0.31496062992125984"/>
  <pageSetup scale="4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6781-FEFB-4AA6-84FE-00BA79DAF07F}">
  <sheetPr codeName="Sheet2"/>
  <dimension ref="A1:J40"/>
  <sheetViews>
    <sheetView workbookViewId="0">
      <selection activeCell="B9" sqref="B9"/>
    </sheetView>
  </sheetViews>
  <sheetFormatPr defaultRowHeight="14.4" x14ac:dyDescent="0.3"/>
  <cols>
    <col min="1" max="1" width="16.21875" bestFit="1" customWidth="1"/>
    <col min="2" max="2" width="12.6640625" bestFit="1" customWidth="1"/>
    <col min="4" max="4" width="26.88671875" bestFit="1" customWidth="1"/>
    <col min="5" max="5" width="15.88671875" bestFit="1" customWidth="1"/>
    <col min="6" max="6" width="10.5546875" bestFit="1" customWidth="1"/>
    <col min="7" max="7" width="10.88671875" bestFit="1" customWidth="1"/>
    <col min="8" max="8" width="11.77734375" bestFit="1" customWidth="1"/>
    <col min="9" max="9" width="8.109375" bestFit="1" customWidth="1"/>
    <col min="10" max="10" width="41.88671875" bestFit="1" customWidth="1"/>
  </cols>
  <sheetData>
    <row r="1" spans="1:10" x14ac:dyDescent="0.3">
      <c r="A1" s="5" t="s">
        <v>2</v>
      </c>
      <c r="B1" s="5" t="s">
        <v>1</v>
      </c>
      <c r="C1" s="5" t="s">
        <v>3</v>
      </c>
      <c r="D1" s="5" t="s">
        <v>4</v>
      </c>
      <c r="E1" s="5" t="s">
        <v>5</v>
      </c>
      <c r="F1" s="6" t="s">
        <v>6</v>
      </c>
      <c r="G1" s="7" t="s">
        <v>7</v>
      </c>
      <c r="H1" s="7" t="s">
        <v>8</v>
      </c>
      <c r="I1" s="7" t="s">
        <v>9</v>
      </c>
      <c r="J1" s="5" t="s">
        <v>10</v>
      </c>
    </row>
    <row r="2" spans="1:10" x14ac:dyDescent="0.3">
      <c r="A2" s="8" t="s">
        <v>104</v>
      </c>
      <c r="B2" s="8" t="str">
        <f>_xlfn.XLOOKUP($A2,Sheet3!$A:$A,Sheet3!$B:$B," ",0)</f>
        <v>XYZ0-115325</v>
      </c>
      <c r="C2" s="9" t="s">
        <v>13</v>
      </c>
      <c r="D2" s="123" t="s">
        <v>103</v>
      </c>
      <c r="E2" s="9" t="s">
        <v>15</v>
      </c>
      <c r="F2" s="10" t="s">
        <v>16</v>
      </c>
      <c r="G2" s="11">
        <v>0.33333333333333331</v>
      </c>
      <c r="H2" s="11">
        <v>0.66666666666666663</v>
      </c>
      <c r="I2" s="12">
        <v>0.33333333333333331</v>
      </c>
      <c r="J2" s="13" t="s">
        <v>17</v>
      </c>
    </row>
    <row r="3" spans="1:10" x14ac:dyDescent="0.3">
      <c r="A3" s="8" t="s">
        <v>104</v>
      </c>
      <c r="B3" s="8" t="str">
        <f>_xlfn.XLOOKUP($A3,Sheet3!$A:$A,Sheet3!$B:$B," ",0)</f>
        <v>XYZ0-115325</v>
      </c>
      <c r="C3" s="9" t="s">
        <v>13</v>
      </c>
      <c r="D3" s="123" t="s">
        <v>103</v>
      </c>
      <c r="E3" s="9" t="s">
        <v>15</v>
      </c>
      <c r="F3" s="10">
        <v>45906</v>
      </c>
      <c r="G3" s="11">
        <v>0.33333333333333331</v>
      </c>
      <c r="H3" s="11">
        <v>0.66666666666666663</v>
      </c>
      <c r="I3" s="12">
        <v>0.33333333333333331</v>
      </c>
      <c r="J3" s="13" t="s">
        <v>18</v>
      </c>
    </row>
    <row r="4" spans="1:10" x14ac:dyDescent="0.3">
      <c r="A4" s="8" t="s">
        <v>104</v>
      </c>
      <c r="B4" s="8" t="str">
        <f>_xlfn.XLOOKUP($A4,Sheet3!$A:$A,Sheet3!$B:$B," ",0)</f>
        <v>XYZ0-115325</v>
      </c>
      <c r="C4" s="9" t="s">
        <v>13</v>
      </c>
      <c r="D4" s="123" t="s">
        <v>103</v>
      </c>
      <c r="E4" s="9" t="s">
        <v>15</v>
      </c>
      <c r="F4" s="10">
        <v>45907</v>
      </c>
      <c r="G4" s="11">
        <v>0.33333333333333331</v>
      </c>
      <c r="H4" s="11">
        <v>0.66666666666666663</v>
      </c>
      <c r="I4" s="12">
        <v>0.33333333333333331</v>
      </c>
      <c r="J4" s="13" t="s">
        <v>18</v>
      </c>
    </row>
    <row r="5" spans="1:10" x14ac:dyDescent="0.3">
      <c r="A5" s="8" t="s">
        <v>104</v>
      </c>
      <c r="B5" s="8" t="str">
        <f>_xlfn.XLOOKUP($A5,Sheet3!$A:$A,Sheet3!$B:$B," ",0)</f>
        <v>XYZ0-115325</v>
      </c>
      <c r="C5" s="9" t="s">
        <v>13</v>
      </c>
      <c r="D5" s="123" t="s">
        <v>103</v>
      </c>
      <c r="E5" s="9" t="s">
        <v>15</v>
      </c>
      <c r="F5" s="10">
        <v>45920</v>
      </c>
      <c r="G5" s="11">
        <v>0.33333333333333331</v>
      </c>
      <c r="H5" s="11">
        <v>0.66666666666666663</v>
      </c>
      <c r="I5" s="12">
        <v>0.33333333333333331</v>
      </c>
      <c r="J5" s="13" t="s">
        <v>18</v>
      </c>
    </row>
    <row r="6" spans="1:10" x14ac:dyDescent="0.3">
      <c r="A6" s="8" t="s">
        <v>105</v>
      </c>
      <c r="B6" s="8" t="str">
        <f>_xlfn.XLOOKUP($A6,Sheet3!$A:$A,Sheet3!$B:$B," ",0)</f>
        <v>XYZ0-243689</v>
      </c>
      <c r="C6" s="9" t="s">
        <v>13</v>
      </c>
      <c r="D6" s="123" t="s">
        <v>103</v>
      </c>
      <c r="E6" s="9" t="s">
        <v>15</v>
      </c>
      <c r="F6" s="10">
        <v>45905</v>
      </c>
      <c r="G6" s="11">
        <v>0.33333333333333331</v>
      </c>
      <c r="H6" s="11">
        <v>0.66666666666666663</v>
      </c>
      <c r="I6" s="12">
        <v>0.33333333333333331</v>
      </c>
      <c r="J6" s="13" t="s">
        <v>17</v>
      </c>
    </row>
    <row r="7" spans="1:10" x14ac:dyDescent="0.3">
      <c r="A7" s="8" t="s">
        <v>105</v>
      </c>
      <c r="B7" s="8" t="str">
        <f>_xlfn.XLOOKUP($A7,Sheet3!$A:$A,Sheet3!$B:$B," ",0)</f>
        <v>XYZ0-243689</v>
      </c>
      <c r="C7" s="9" t="s">
        <v>13</v>
      </c>
      <c r="D7" s="123" t="s">
        <v>103</v>
      </c>
      <c r="E7" s="9" t="s">
        <v>15</v>
      </c>
      <c r="F7" s="10">
        <v>45914</v>
      </c>
      <c r="G7" s="11">
        <v>0.33333333333333298</v>
      </c>
      <c r="H7" s="11">
        <v>0.66666666666666696</v>
      </c>
      <c r="I7" s="12">
        <v>0.33333333333333398</v>
      </c>
      <c r="J7" s="13" t="s">
        <v>18</v>
      </c>
    </row>
    <row r="8" spans="1:10" x14ac:dyDescent="0.3">
      <c r="A8" s="8" t="s">
        <v>105</v>
      </c>
      <c r="B8" s="8" t="str">
        <f>_xlfn.XLOOKUP($A8,Sheet3!$A:$A,Sheet3!$B:$B," ",0)</f>
        <v>XYZ0-243689</v>
      </c>
      <c r="C8" s="9" t="s">
        <v>13</v>
      </c>
      <c r="D8" s="123" t="s">
        <v>103</v>
      </c>
      <c r="E8" s="9" t="s">
        <v>15</v>
      </c>
      <c r="F8" s="10">
        <v>45927</v>
      </c>
      <c r="G8" s="11">
        <v>0.33333333333333298</v>
      </c>
      <c r="H8" s="11">
        <v>0.66666666666666696</v>
      </c>
      <c r="I8" s="12">
        <v>0.33333333333333398</v>
      </c>
      <c r="J8" s="14" t="s">
        <v>18</v>
      </c>
    </row>
    <row r="9" spans="1:10" x14ac:dyDescent="0.3">
      <c r="A9" s="8" t="s">
        <v>105</v>
      </c>
      <c r="B9" s="8" t="str">
        <f>_xlfn.XLOOKUP($A9,Sheet3!$A:$A,Sheet3!$B:$B," ",0)</f>
        <v>XYZ0-243689</v>
      </c>
      <c r="C9" s="9" t="s">
        <v>13</v>
      </c>
      <c r="D9" s="123" t="s">
        <v>103</v>
      </c>
      <c r="E9" s="9" t="s">
        <v>15</v>
      </c>
      <c r="F9" s="10">
        <v>45928</v>
      </c>
      <c r="G9" s="11">
        <v>0.33333333333333298</v>
      </c>
      <c r="H9" s="11">
        <v>0.66666666666666696</v>
      </c>
      <c r="I9" s="12">
        <v>0.33333333333333398</v>
      </c>
      <c r="J9" s="14" t="s">
        <v>18</v>
      </c>
    </row>
    <row r="10" spans="1:10" x14ac:dyDescent="0.3">
      <c r="A10" s="8" t="s">
        <v>106</v>
      </c>
      <c r="B10" s="8" t="str">
        <f>_xlfn.XLOOKUP($A10,Sheet3!$A:$A,Sheet3!$B:$B," ",0)</f>
        <v>XYZ0-115330</v>
      </c>
      <c r="C10" s="9" t="s">
        <v>13</v>
      </c>
      <c r="D10" s="123" t="s">
        <v>103</v>
      </c>
      <c r="E10" s="9" t="s">
        <v>24</v>
      </c>
      <c r="F10" s="15">
        <v>45913</v>
      </c>
      <c r="G10" s="16">
        <v>0.33333333333333331</v>
      </c>
      <c r="H10" s="11">
        <v>0.66666666666666663</v>
      </c>
      <c r="I10" s="12">
        <v>0.33333333333333331</v>
      </c>
      <c r="J10" s="13" t="s">
        <v>18</v>
      </c>
    </row>
    <row r="11" spans="1:10" x14ac:dyDescent="0.3">
      <c r="A11" s="8" t="s">
        <v>106</v>
      </c>
      <c r="B11" s="8" t="str">
        <f>_xlfn.XLOOKUP($A11,Sheet3!$A:$A,Sheet3!$B:$B," ",0)</f>
        <v>XYZ0-115330</v>
      </c>
      <c r="C11" s="9" t="s">
        <v>13</v>
      </c>
      <c r="D11" s="123" t="s">
        <v>103</v>
      </c>
      <c r="E11" s="9" t="s">
        <v>24</v>
      </c>
      <c r="F11" s="10">
        <v>45922</v>
      </c>
      <c r="G11" s="11">
        <v>0.66666666666666663</v>
      </c>
      <c r="H11" s="11">
        <v>0</v>
      </c>
      <c r="I11" s="12">
        <v>0.33333333333333337</v>
      </c>
      <c r="J11" s="13" t="s">
        <v>25</v>
      </c>
    </row>
    <row r="12" spans="1:10" x14ac:dyDescent="0.3">
      <c r="A12" s="8" t="s">
        <v>106</v>
      </c>
      <c r="B12" s="8" t="str">
        <f>_xlfn.XLOOKUP($A12,Sheet3!$A:$A,Sheet3!$B:$B," ",0)</f>
        <v>XYZ0-115330</v>
      </c>
      <c r="C12" s="9" t="s">
        <v>13</v>
      </c>
      <c r="D12" s="123" t="s">
        <v>103</v>
      </c>
      <c r="E12" s="9" t="s">
        <v>24</v>
      </c>
      <c r="F12" s="15">
        <v>45923</v>
      </c>
      <c r="G12" s="16">
        <v>0.33333333333333331</v>
      </c>
      <c r="H12" s="11">
        <v>0.66666666666666663</v>
      </c>
      <c r="I12" s="12">
        <v>0.33333333333333331</v>
      </c>
      <c r="J12" s="13" t="s">
        <v>116</v>
      </c>
    </row>
    <row r="13" spans="1:10" x14ac:dyDescent="0.3">
      <c r="A13" s="8" t="s">
        <v>106</v>
      </c>
      <c r="B13" s="8" t="str">
        <f>_xlfn.XLOOKUP($A13,Sheet3!$A:$A,Sheet3!$B:$B," ",0)</f>
        <v>XYZ0-115330</v>
      </c>
      <c r="C13" s="9" t="s">
        <v>13</v>
      </c>
      <c r="D13" s="123" t="s">
        <v>103</v>
      </c>
      <c r="E13" s="9" t="s">
        <v>24</v>
      </c>
      <c r="F13" s="15">
        <v>45925</v>
      </c>
      <c r="G13" s="16">
        <v>0.33333333333333331</v>
      </c>
      <c r="H13" s="11">
        <v>0.66666666666666663</v>
      </c>
      <c r="I13" s="12">
        <v>0.33333333333333331</v>
      </c>
      <c r="J13" s="13" t="s">
        <v>116</v>
      </c>
    </row>
    <row r="14" spans="1:10" x14ac:dyDescent="0.3">
      <c r="A14" s="8" t="s">
        <v>107</v>
      </c>
      <c r="B14" s="8" t="str">
        <f>_xlfn.XLOOKUP($A14,Sheet3!$A:$A,Sheet3!$B:$B," ",0)</f>
        <v>XYZ0-213167</v>
      </c>
      <c r="C14" s="9" t="s">
        <v>13</v>
      </c>
      <c r="D14" s="123" t="s">
        <v>103</v>
      </c>
      <c r="E14" s="9" t="s">
        <v>24</v>
      </c>
      <c r="F14" s="15">
        <v>45921</v>
      </c>
      <c r="G14" s="16">
        <v>0.33333333333333331</v>
      </c>
      <c r="H14" s="11">
        <v>0.66666666666666663</v>
      </c>
      <c r="I14" s="12">
        <v>0.33333333333333331</v>
      </c>
      <c r="J14" s="13" t="s">
        <v>18</v>
      </c>
    </row>
    <row r="15" spans="1:10" x14ac:dyDescent="0.3">
      <c r="A15" s="8" t="s">
        <v>107</v>
      </c>
      <c r="B15" s="8" t="str">
        <f>_xlfn.XLOOKUP($A15,Sheet3!$A:$A,Sheet3!$B:$B," ",0)</f>
        <v>XYZ0-213167</v>
      </c>
      <c r="C15" s="9" t="s">
        <v>13</v>
      </c>
      <c r="D15" s="123" t="s">
        <v>103</v>
      </c>
      <c r="E15" s="9" t="s">
        <v>24</v>
      </c>
      <c r="F15" s="10">
        <v>45922</v>
      </c>
      <c r="G15" s="11">
        <v>0.66666666666666663</v>
      </c>
      <c r="H15" s="11">
        <v>0</v>
      </c>
      <c r="I15" s="12">
        <v>0.33333333333333337</v>
      </c>
      <c r="J15" s="13" t="s">
        <v>25</v>
      </c>
    </row>
    <row r="16" spans="1:10" x14ac:dyDescent="0.3">
      <c r="A16" s="8" t="s">
        <v>107</v>
      </c>
      <c r="B16" s="8" t="str">
        <f>_xlfn.XLOOKUP($A16,Sheet3!$A:$A,Sheet3!$B:$B," ",0)</f>
        <v>XYZ0-213167</v>
      </c>
      <c r="C16" s="9" t="s">
        <v>13</v>
      </c>
      <c r="D16" s="123" t="s">
        <v>103</v>
      </c>
      <c r="E16" s="9" t="s">
        <v>24</v>
      </c>
      <c r="F16" s="10">
        <v>45924</v>
      </c>
      <c r="G16" s="11">
        <v>0.33333333333333331</v>
      </c>
      <c r="H16" s="11">
        <v>0.66666666666666663</v>
      </c>
      <c r="I16" s="12">
        <v>0.33333333333333331</v>
      </c>
      <c r="J16" s="13" t="s">
        <v>116</v>
      </c>
    </row>
    <row r="17" spans="1:10" x14ac:dyDescent="0.3">
      <c r="A17" s="8" t="s">
        <v>108</v>
      </c>
      <c r="B17" s="8" t="str">
        <f>_xlfn.XLOOKUP($A17,Sheet3!$A:$A,Sheet3!$B:$B," ",0)</f>
        <v>XYZ0-115329</v>
      </c>
      <c r="C17" s="9" t="s">
        <v>13</v>
      </c>
      <c r="D17" s="123" t="s">
        <v>103</v>
      </c>
      <c r="E17" s="9" t="s">
        <v>24</v>
      </c>
      <c r="F17" s="10">
        <v>45905</v>
      </c>
      <c r="G17" s="11">
        <v>0</v>
      </c>
      <c r="H17" s="11">
        <v>0.33333333333333331</v>
      </c>
      <c r="I17" s="12">
        <v>0.33333333333333331</v>
      </c>
      <c r="J17" s="13" t="s">
        <v>17</v>
      </c>
    </row>
    <row r="18" spans="1:10" x14ac:dyDescent="0.3">
      <c r="A18" s="8" t="s">
        <v>108</v>
      </c>
      <c r="B18" s="8" t="str">
        <f>_xlfn.XLOOKUP($A18,Sheet3!$A:$A,Sheet3!$B:$B," ",0)</f>
        <v>XYZ0-115329</v>
      </c>
      <c r="C18" s="9" t="s">
        <v>13</v>
      </c>
      <c r="D18" s="123" t="s">
        <v>103</v>
      </c>
      <c r="E18" s="9" t="s">
        <v>24</v>
      </c>
      <c r="F18" s="10">
        <v>45908</v>
      </c>
      <c r="G18" s="11">
        <v>0</v>
      </c>
      <c r="H18" s="11">
        <v>0.33333333333333331</v>
      </c>
      <c r="I18" s="12">
        <v>0.33333333333333331</v>
      </c>
      <c r="J18" s="14" t="s">
        <v>114</v>
      </c>
    </row>
    <row r="19" spans="1:10" x14ac:dyDescent="0.3">
      <c r="A19" s="8" t="s">
        <v>108</v>
      </c>
      <c r="B19" s="8" t="str">
        <f>_xlfn.XLOOKUP($A19,Sheet3!$A:$A,Sheet3!$B:$B," ",0)</f>
        <v>XYZ0-115329</v>
      </c>
      <c r="C19" s="9" t="s">
        <v>13</v>
      </c>
      <c r="D19" s="123" t="s">
        <v>103</v>
      </c>
      <c r="E19" s="9" t="s">
        <v>24</v>
      </c>
      <c r="F19" s="10">
        <v>45912</v>
      </c>
      <c r="G19" s="11">
        <v>0.66666666666666663</v>
      </c>
      <c r="H19" s="11">
        <v>0</v>
      </c>
      <c r="I19" s="12">
        <v>0.33333333333333337</v>
      </c>
      <c r="J19" s="14" t="s">
        <v>114</v>
      </c>
    </row>
    <row r="20" spans="1:10" x14ac:dyDescent="0.3">
      <c r="A20" s="8" t="s">
        <v>108</v>
      </c>
      <c r="B20" s="8" t="str">
        <f>_xlfn.XLOOKUP($A20,Sheet3!$A:$A,Sheet3!$B:$B," ",0)</f>
        <v>XYZ0-115329</v>
      </c>
      <c r="C20" s="9" t="s">
        <v>13</v>
      </c>
      <c r="D20" s="123" t="s">
        <v>103</v>
      </c>
      <c r="E20" s="9" t="s">
        <v>24</v>
      </c>
      <c r="F20" s="10">
        <v>45915</v>
      </c>
      <c r="G20" s="11">
        <v>0</v>
      </c>
      <c r="H20" s="11">
        <v>0.33333333333333331</v>
      </c>
      <c r="I20" s="12">
        <v>0.33333333333333331</v>
      </c>
      <c r="J20" s="14" t="s">
        <v>25</v>
      </c>
    </row>
    <row r="21" spans="1:10" x14ac:dyDescent="0.3">
      <c r="A21" s="8" t="s">
        <v>109</v>
      </c>
      <c r="B21" s="8" t="str">
        <f>_xlfn.XLOOKUP($A21,Sheet3!$A:$A,Sheet3!$B:$B," ",0)</f>
        <v>XYZ0-193377</v>
      </c>
      <c r="C21" s="9" t="s">
        <v>13</v>
      </c>
      <c r="D21" s="123" t="s">
        <v>103</v>
      </c>
      <c r="E21" s="9" t="s">
        <v>24</v>
      </c>
      <c r="F21" s="10">
        <v>45905</v>
      </c>
      <c r="G21" s="11">
        <v>0.66666666666666663</v>
      </c>
      <c r="H21" s="11">
        <v>0</v>
      </c>
      <c r="I21" s="12">
        <v>0.33333333333333337</v>
      </c>
      <c r="J21" s="14" t="s">
        <v>17</v>
      </c>
    </row>
    <row r="22" spans="1:10" x14ac:dyDescent="0.3">
      <c r="A22" s="8" t="s">
        <v>109</v>
      </c>
      <c r="B22" s="8" t="str">
        <f>_xlfn.XLOOKUP($A22,Sheet3!$A:$A,Sheet3!$B:$B," ",0)</f>
        <v>XYZ0-193377</v>
      </c>
      <c r="C22" s="9" t="s">
        <v>13</v>
      </c>
      <c r="D22" s="123" t="s">
        <v>103</v>
      </c>
      <c r="E22" s="9" t="s">
        <v>24</v>
      </c>
      <c r="F22" s="10">
        <v>45910</v>
      </c>
      <c r="G22" s="11">
        <v>0.66666666666666663</v>
      </c>
      <c r="H22" s="11">
        <v>0</v>
      </c>
      <c r="I22" s="12">
        <v>0.33333333333333337</v>
      </c>
      <c r="J22" s="14" t="s">
        <v>114</v>
      </c>
    </row>
    <row r="23" spans="1:10" x14ac:dyDescent="0.3">
      <c r="A23" s="8" t="s">
        <v>109</v>
      </c>
      <c r="B23" s="8" t="str">
        <f>_xlfn.XLOOKUP($A23,Sheet3!$A:$A,Sheet3!$B:$B," ",0)</f>
        <v>XYZ0-193377</v>
      </c>
      <c r="C23" s="9" t="s">
        <v>13</v>
      </c>
      <c r="D23" s="123" t="s">
        <v>103</v>
      </c>
      <c r="E23" s="9" t="s">
        <v>24</v>
      </c>
      <c r="F23" s="10">
        <v>45911</v>
      </c>
      <c r="G23" s="11">
        <v>0.66666666666666663</v>
      </c>
      <c r="H23" s="11">
        <v>0</v>
      </c>
      <c r="I23" s="12">
        <v>0.33333333333333337</v>
      </c>
      <c r="J23" s="14" t="s">
        <v>114</v>
      </c>
    </row>
    <row r="24" spans="1:10" x14ac:dyDescent="0.3">
      <c r="A24" s="8" t="s">
        <v>109</v>
      </c>
      <c r="B24" s="8" t="str">
        <f>_xlfn.XLOOKUP($A24,Sheet3!$A:$A,Sheet3!$B:$B," ",0)</f>
        <v>XYZ0-193377</v>
      </c>
      <c r="C24" s="9" t="s">
        <v>13</v>
      </c>
      <c r="D24" s="123" t="s">
        <v>103</v>
      </c>
      <c r="E24" s="9" t="s">
        <v>24</v>
      </c>
      <c r="F24" s="10">
        <v>45915</v>
      </c>
      <c r="G24" s="11">
        <v>0</v>
      </c>
      <c r="H24" s="11">
        <v>0.33333333333333331</v>
      </c>
      <c r="I24" s="12">
        <v>0.33333333333333331</v>
      </c>
      <c r="J24" s="13" t="s">
        <v>25</v>
      </c>
    </row>
    <row r="25" spans="1:10" x14ac:dyDescent="0.3">
      <c r="A25" s="8" t="s">
        <v>110</v>
      </c>
      <c r="B25" s="8" t="str">
        <f>_xlfn.XLOOKUP($A25,Sheet3!$A:$A,Sheet3!$B:$B," ",0)</f>
        <v>XYZ0-115331</v>
      </c>
      <c r="C25" s="9" t="s">
        <v>13</v>
      </c>
      <c r="D25" s="123" t="s">
        <v>103</v>
      </c>
      <c r="E25" s="9" t="s">
        <v>24</v>
      </c>
      <c r="F25" s="10">
        <v>45905</v>
      </c>
      <c r="G25" s="11">
        <v>0</v>
      </c>
      <c r="H25" s="11">
        <v>0.33333333333333331</v>
      </c>
      <c r="I25" s="12">
        <v>0.33333333333333337</v>
      </c>
      <c r="J25" s="13" t="s">
        <v>17</v>
      </c>
    </row>
    <row r="26" spans="1:10" x14ac:dyDescent="0.3">
      <c r="A26" s="8" t="s">
        <v>110</v>
      </c>
      <c r="B26" s="8" t="str">
        <f>_xlfn.XLOOKUP($A26,Sheet3!$A:$A,Sheet3!$B:$B," ",0)</f>
        <v>XYZ0-115331</v>
      </c>
      <c r="C26" s="9" t="s">
        <v>13</v>
      </c>
      <c r="D26" s="123" t="s">
        <v>103</v>
      </c>
      <c r="E26" s="9" t="s">
        <v>24</v>
      </c>
      <c r="F26" s="10">
        <v>45904</v>
      </c>
      <c r="G26" s="11">
        <v>0.33333333333333331</v>
      </c>
      <c r="H26" s="11">
        <v>0.66666666666666663</v>
      </c>
      <c r="I26" s="12">
        <v>0.33333333333333331</v>
      </c>
      <c r="J26" s="14" t="s">
        <v>115</v>
      </c>
    </row>
    <row r="27" spans="1:10" x14ac:dyDescent="0.3">
      <c r="A27" s="8" t="s">
        <v>110</v>
      </c>
      <c r="B27" s="8" t="str">
        <f>_xlfn.XLOOKUP($A27,Sheet3!$A:$A,Sheet3!$B:$B," ",0)</f>
        <v>XYZ0-115331</v>
      </c>
      <c r="C27" s="9" t="s">
        <v>13</v>
      </c>
      <c r="D27" s="123" t="s">
        <v>103</v>
      </c>
      <c r="E27" s="9" t="s">
        <v>24</v>
      </c>
      <c r="F27" s="10">
        <v>45908</v>
      </c>
      <c r="G27" s="11">
        <v>0.33333333333333331</v>
      </c>
      <c r="H27" s="11">
        <v>0.66666666666666663</v>
      </c>
      <c r="I27" s="12">
        <v>0.33333333333333331</v>
      </c>
      <c r="J27" s="14" t="s">
        <v>25</v>
      </c>
    </row>
    <row r="28" spans="1:10" x14ac:dyDescent="0.3">
      <c r="A28" s="8" t="s">
        <v>110</v>
      </c>
      <c r="B28" s="8" t="str">
        <f>_xlfn.XLOOKUP($A28,Sheet3!$A:$A,Sheet3!$B:$B," ",0)</f>
        <v>XYZ0-115331</v>
      </c>
      <c r="C28" s="9" t="s">
        <v>13</v>
      </c>
      <c r="D28" s="123" t="s">
        <v>103</v>
      </c>
      <c r="E28" s="9" t="s">
        <v>24</v>
      </c>
      <c r="F28" s="10">
        <v>45907</v>
      </c>
      <c r="G28" s="11">
        <v>0</v>
      </c>
      <c r="H28" s="11">
        <v>0.33333333333333331</v>
      </c>
      <c r="I28" s="12">
        <v>0.33333333333333331</v>
      </c>
      <c r="J28" s="13" t="s">
        <v>114</v>
      </c>
    </row>
    <row r="29" spans="1:10" x14ac:dyDescent="0.3">
      <c r="A29" s="8" t="s">
        <v>111</v>
      </c>
      <c r="B29" s="8" t="str">
        <f>_xlfn.XLOOKUP($A29,Sheet3!$A:$A,Sheet3!$B:$B," ",0)</f>
        <v>XYZ0-234340</v>
      </c>
      <c r="C29" s="9" t="s">
        <v>13</v>
      </c>
      <c r="D29" s="123" t="s">
        <v>103</v>
      </c>
      <c r="E29" s="9" t="s">
        <v>24</v>
      </c>
      <c r="F29" s="10">
        <v>45905</v>
      </c>
      <c r="G29" s="11">
        <v>0.66666666666666663</v>
      </c>
      <c r="H29" s="11">
        <v>0</v>
      </c>
      <c r="I29" s="12">
        <v>0.33333333333333337</v>
      </c>
      <c r="J29" s="13" t="s">
        <v>17</v>
      </c>
    </row>
    <row r="30" spans="1:10" x14ac:dyDescent="0.3">
      <c r="A30" s="8" t="s">
        <v>111</v>
      </c>
      <c r="B30" s="8" t="str">
        <f>_xlfn.XLOOKUP($A30,Sheet3!$A:$A,Sheet3!$B:$B," ",0)</f>
        <v>XYZ0-234340</v>
      </c>
      <c r="C30" s="9" t="s">
        <v>13</v>
      </c>
      <c r="D30" s="123" t="s">
        <v>103</v>
      </c>
      <c r="E30" s="9" t="s">
        <v>24</v>
      </c>
      <c r="F30" s="10">
        <v>45906</v>
      </c>
      <c r="G30" s="11">
        <v>0</v>
      </c>
      <c r="H30" s="11">
        <v>0.33333333333333331</v>
      </c>
      <c r="I30" s="12">
        <v>0.33333333333333331</v>
      </c>
      <c r="J30" s="14" t="s">
        <v>114</v>
      </c>
    </row>
    <row r="31" spans="1:10" x14ac:dyDescent="0.3">
      <c r="A31" s="8" t="s">
        <v>111</v>
      </c>
      <c r="B31" s="8" t="str">
        <f>_xlfn.XLOOKUP($A31,Sheet3!$A:$A,Sheet3!$B:$B," ",0)</f>
        <v>XYZ0-234340</v>
      </c>
      <c r="C31" s="9" t="s">
        <v>13</v>
      </c>
      <c r="D31" s="123" t="s">
        <v>103</v>
      </c>
      <c r="E31" s="9" t="s">
        <v>24</v>
      </c>
      <c r="F31" s="10">
        <v>45908</v>
      </c>
      <c r="G31" s="11">
        <v>0.33333333333333331</v>
      </c>
      <c r="H31" s="11">
        <v>0.66666666666666663</v>
      </c>
      <c r="I31" s="12">
        <v>0.33333333333333331</v>
      </c>
      <c r="J31" s="14" t="s">
        <v>25</v>
      </c>
    </row>
    <row r="32" spans="1:10" x14ac:dyDescent="0.3">
      <c r="A32" s="8" t="s">
        <v>111</v>
      </c>
      <c r="B32" s="8" t="str">
        <f>_xlfn.XLOOKUP($A32,Sheet3!$A:$A,Sheet3!$B:$B," ",0)</f>
        <v>XYZ0-234340</v>
      </c>
      <c r="C32" s="9" t="s">
        <v>13</v>
      </c>
      <c r="D32" s="123" t="s">
        <v>103</v>
      </c>
      <c r="E32" s="9" t="s">
        <v>24</v>
      </c>
      <c r="F32" s="10">
        <v>45916</v>
      </c>
      <c r="G32" s="11">
        <v>0.33333333333333331</v>
      </c>
      <c r="H32" s="11">
        <v>0.66666666666666663</v>
      </c>
      <c r="I32" s="12">
        <v>0.33333333333333331</v>
      </c>
      <c r="J32" s="13" t="s">
        <v>114</v>
      </c>
    </row>
    <row r="33" spans="1:10" x14ac:dyDescent="0.3">
      <c r="A33" s="8" t="s">
        <v>112</v>
      </c>
      <c r="B33" s="8" t="str">
        <f>_xlfn.XLOOKUP($A33,Sheet3!$A:$A,Sheet3!$B:$B," ",0)</f>
        <v>XYZ0-115315</v>
      </c>
      <c r="C33" s="9" t="s">
        <v>13</v>
      </c>
      <c r="D33" s="123" t="s">
        <v>103</v>
      </c>
      <c r="E33" s="9" t="s">
        <v>24</v>
      </c>
      <c r="F33" s="10">
        <v>45901</v>
      </c>
      <c r="G33" s="11">
        <v>0.66666666666666663</v>
      </c>
      <c r="H33" s="11">
        <v>0</v>
      </c>
      <c r="I33" s="12">
        <v>0.33333333333333331</v>
      </c>
      <c r="J33" s="14" t="s">
        <v>25</v>
      </c>
    </row>
    <row r="34" spans="1:10" x14ac:dyDescent="0.3">
      <c r="A34" s="8" t="s">
        <v>112</v>
      </c>
      <c r="B34" s="8" t="str">
        <f>_xlfn.XLOOKUP($A34,Sheet3!$A:$A,Sheet3!$B:$B," ",0)</f>
        <v>XYZ0-115315</v>
      </c>
      <c r="C34" s="9" t="s">
        <v>13</v>
      </c>
      <c r="D34" s="123" t="s">
        <v>103</v>
      </c>
      <c r="E34" s="9" t="s">
        <v>24</v>
      </c>
      <c r="F34" s="10">
        <v>45905</v>
      </c>
      <c r="G34" s="11">
        <v>0.33333333333333331</v>
      </c>
      <c r="H34" s="11">
        <v>0.66666666666666663</v>
      </c>
      <c r="I34" s="12">
        <v>0.33333333333333337</v>
      </c>
      <c r="J34" s="13" t="s">
        <v>17</v>
      </c>
    </row>
    <row r="35" spans="1:10" x14ac:dyDescent="0.3">
      <c r="A35" s="8" t="s">
        <v>112</v>
      </c>
      <c r="B35" s="8" t="str">
        <f>_xlfn.XLOOKUP($A35,Sheet3!$A:$A,Sheet3!$B:$B," ",0)</f>
        <v>XYZ0-115315</v>
      </c>
      <c r="C35" s="9" t="s">
        <v>13</v>
      </c>
      <c r="D35" s="123" t="s">
        <v>103</v>
      </c>
      <c r="E35" s="9" t="s">
        <v>24</v>
      </c>
      <c r="F35" s="10">
        <v>45902</v>
      </c>
      <c r="G35" s="11">
        <v>0.33333333333333331</v>
      </c>
      <c r="H35" s="11">
        <v>0.66666666666666663</v>
      </c>
      <c r="I35" s="12">
        <v>0.33333333333333331</v>
      </c>
      <c r="J35" s="14" t="s">
        <v>115</v>
      </c>
    </row>
    <row r="36" spans="1:10" x14ac:dyDescent="0.3">
      <c r="A36" s="8" t="s">
        <v>112</v>
      </c>
      <c r="B36" s="8" t="str">
        <f>_xlfn.XLOOKUP($A36,Sheet3!$A:$A,Sheet3!$B:$B," ",0)</f>
        <v>XYZ0-115315</v>
      </c>
      <c r="C36" s="9" t="s">
        <v>13</v>
      </c>
      <c r="D36" s="123" t="s">
        <v>103</v>
      </c>
      <c r="E36" s="9" t="s">
        <v>24</v>
      </c>
      <c r="F36" s="10">
        <v>45914</v>
      </c>
      <c r="G36" s="16">
        <v>0.33333333333333331</v>
      </c>
      <c r="H36" s="16">
        <v>0.66666666666666663</v>
      </c>
      <c r="I36" s="12">
        <v>0.33333333333333331</v>
      </c>
      <c r="J36" s="14" t="s">
        <v>114</v>
      </c>
    </row>
    <row r="37" spans="1:10" x14ac:dyDescent="0.3">
      <c r="A37" s="8" t="s">
        <v>113</v>
      </c>
      <c r="B37" s="8" t="str">
        <f>_xlfn.XLOOKUP($A37,Sheet3!$A:$A,Sheet3!$B:$B," ",0)</f>
        <v>XYZ0-240232</v>
      </c>
      <c r="C37" s="9" t="s">
        <v>13</v>
      </c>
      <c r="D37" s="123" t="s">
        <v>103</v>
      </c>
      <c r="E37" s="9" t="s">
        <v>24</v>
      </c>
      <c r="F37" s="10">
        <v>45901</v>
      </c>
      <c r="G37" s="16">
        <v>0.66666666666666663</v>
      </c>
      <c r="H37" s="16">
        <v>0</v>
      </c>
      <c r="I37" s="12">
        <v>0.33333333333333337</v>
      </c>
      <c r="J37" s="14" t="s">
        <v>25</v>
      </c>
    </row>
    <row r="38" spans="1:10" x14ac:dyDescent="0.3">
      <c r="A38" s="8" t="s">
        <v>113</v>
      </c>
      <c r="B38" s="8" t="str">
        <f>_xlfn.XLOOKUP($A38,Sheet3!$A:$A,Sheet3!$B:$B," ",0)</f>
        <v>XYZ0-240232</v>
      </c>
      <c r="C38" s="9" t="s">
        <v>13</v>
      </c>
      <c r="D38" s="123" t="s">
        <v>103</v>
      </c>
      <c r="E38" s="9" t="s">
        <v>24</v>
      </c>
      <c r="F38" s="15">
        <v>45903</v>
      </c>
      <c r="G38" s="11">
        <v>0.33333333333333331</v>
      </c>
      <c r="H38" s="16">
        <v>0.66666666666666663</v>
      </c>
      <c r="I38" s="12">
        <v>0.33333333333333331</v>
      </c>
      <c r="J38" s="13" t="s">
        <v>115</v>
      </c>
    </row>
    <row r="39" spans="1:10" x14ac:dyDescent="0.3">
      <c r="A39" s="8" t="s">
        <v>113</v>
      </c>
      <c r="B39" s="8" t="str">
        <f>_xlfn.XLOOKUP($A39,Sheet3!$A:$A,Sheet3!$B:$B," ",0)</f>
        <v>XYZ0-240232</v>
      </c>
      <c r="C39" s="9" t="s">
        <v>13</v>
      </c>
      <c r="D39" s="123" t="s">
        <v>103</v>
      </c>
      <c r="E39" s="9" t="s">
        <v>24</v>
      </c>
      <c r="F39" s="15">
        <v>45905</v>
      </c>
      <c r="G39" s="11">
        <v>0.33333333333333331</v>
      </c>
      <c r="H39" s="16">
        <v>0.66666666666666663</v>
      </c>
      <c r="I39" s="12">
        <v>0.33333333333333331</v>
      </c>
      <c r="J39" s="13" t="s">
        <v>17</v>
      </c>
    </row>
    <row r="40" spans="1:10" x14ac:dyDescent="0.3">
      <c r="A40" s="8" t="s">
        <v>113</v>
      </c>
      <c r="B40" s="8" t="str">
        <f>_xlfn.XLOOKUP($A40,Sheet3!$A:$A,Sheet3!$B:$B," ",0)</f>
        <v>XYZ0-240232</v>
      </c>
      <c r="C40" s="9" t="s">
        <v>13</v>
      </c>
      <c r="D40" s="123" t="s">
        <v>103</v>
      </c>
      <c r="E40" s="9" t="s">
        <v>24</v>
      </c>
      <c r="F40" s="15">
        <v>45915</v>
      </c>
      <c r="G40" s="11">
        <v>0.33333333333333331</v>
      </c>
      <c r="H40" s="16">
        <v>0.66666666666666663</v>
      </c>
      <c r="I40" s="12">
        <v>0.33333333333333331</v>
      </c>
      <c r="J40" s="13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9C83-4B37-4166-9700-0F5C9E8C34F5}">
  <sheetPr codeName="Sheet1"/>
  <dimension ref="A1:B12"/>
  <sheetViews>
    <sheetView workbookViewId="0">
      <selection activeCell="D20" sqref="D20"/>
    </sheetView>
  </sheetViews>
  <sheetFormatPr defaultRowHeight="14.4" x14ac:dyDescent="0.3"/>
  <cols>
    <col min="1" max="1" width="14.77734375" bestFit="1" customWidth="1"/>
    <col min="2" max="2" width="11.5546875" bestFit="1" customWidth="1"/>
  </cols>
  <sheetData>
    <row r="1" spans="1:2" x14ac:dyDescent="0.3">
      <c r="A1" s="124" t="s">
        <v>2</v>
      </c>
      <c r="B1" s="124" t="s">
        <v>127</v>
      </c>
    </row>
    <row r="2" spans="1:2" x14ac:dyDescent="0.3">
      <c r="A2" s="124" t="s">
        <v>104</v>
      </c>
      <c r="B2" s="124" t="s">
        <v>117</v>
      </c>
    </row>
    <row r="3" spans="1:2" x14ac:dyDescent="0.3">
      <c r="A3" s="124" t="s">
        <v>105</v>
      </c>
      <c r="B3" s="124" t="s">
        <v>118</v>
      </c>
    </row>
    <row r="4" spans="1:2" x14ac:dyDescent="0.3">
      <c r="A4" s="124" t="s">
        <v>106</v>
      </c>
      <c r="B4" s="124" t="s">
        <v>125</v>
      </c>
    </row>
    <row r="5" spans="1:2" x14ac:dyDescent="0.3">
      <c r="A5" s="124" t="s">
        <v>107</v>
      </c>
      <c r="B5" s="124" t="s">
        <v>119</v>
      </c>
    </row>
    <row r="6" spans="1:2" x14ac:dyDescent="0.3">
      <c r="A6" s="124" t="s">
        <v>108</v>
      </c>
      <c r="B6" s="124" t="s">
        <v>120</v>
      </c>
    </row>
    <row r="7" spans="1:2" x14ac:dyDescent="0.3">
      <c r="A7" s="124" t="s">
        <v>109</v>
      </c>
      <c r="B7" s="124" t="s">
        <v>121</v>
      </c>
    </row>
    <row r="8" spans="1:2" x14ac:dyDescent="0.3">
      <c r="A8" s="124" t="s">
        <v>110</v>
      </c>
      <c r="B8" s="124" t="s">
        <v>122</v>
      </c>
    </row>
    <row r="9" spans="1:2" x14ac:dyDescent="0.3">
      <c r="A9" s="124" t="s">
        <v>111</v>
      </c>
      <c r="B9" s="124" t="s">
        <v>123</v>
      </c>
    </row>
    <row r="10" spans="1:2" x14ac:dyDescent="0.3">
      <c r="A10" s="124" t="s">
        <v>112</v>
      </c>
      <c r="B10" s="124" t="s">
        <v>124</v>
      </c>
    </row>
    <row r="11" spans="1:2" x14ac:dyDescent="0.3">
      <c r="A11" s="124" t="s">
        <v>113</v>
      </c>
      <c r="B11" s="124" t="s">
        <v>126</v>
      </c>
    </row>
    <row r="12" spans="1:2" x14ac:dyDescent="0.3">
      <c r="A12" s="124" t="s">
        <v>113</v>
      </c>
      <c r="B12" s="124" t="s">
        <v>42</v>
      </c>
    </row>
  </sheetData>
  <autoFilter ref="A1:B12" xr:uid="{FAD69C83-4B37-4166-9700-0F5C9E8C34F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Mapping</vt:lpstr>
      <vt:lpstr>Template</vt:lpstr>
      <vt:lpstr>Data</vt:lpstr>
      <vt:lpstr>Sheet3</vt:lpstr>
      <vt:lpstr>Mapping!Print_Area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indah karlina</dc:creator>
  <cp:lastModifiedBy>indah karlina</cp:lastModifiedBy>
  <dcterms:created xsi:type="dcterms:W3CDTF">2025-05-25T06:47:35Z</dcterms:created>
  <dcterms:modified xsi:type="dcterms:W3CDTF">2026-08-28T17:16:45Z</dcterms:modified>
</cp:coreProperties>
</file>